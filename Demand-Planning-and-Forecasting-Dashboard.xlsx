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PHASE 1" sheetId="2" r:id="rId5"/>
    <sheet state="visible" name="PHASE 2" sheetId="3" r:id="rId6"/>
    <sheet state="visible" name="PHASE 3" sheetId="4" r:id="rId7"/>
    <sheet state="visible" name="PHASE 4" sheetId="5" r:id="rId8"/>
  </sheets>
  <definedNames/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=TEXT(CELL,"MMM")
	-Medha Tripathi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=COUNTIFS(Raw_Data!@SKU, "SKU-1001", Raw_Data!@STOCKOUT, "Yes")
	-Medha Tripathi</t>
      </text>
    </comment>
    <comment authorId="0" ref="E1">
      <text>
        <t xml:space="preserve">=(Promo_Sales - Non_Promo_Sales) / Non_Promo_Sales
	-Medha Tripathi</t>
      </text>
    </comment>
    <comment authorId="0" ref="B1">
      <text>
        <t xml:space="preserve">=SUMIFS(Raw_Data!@UNIT_SOLD, Raw_Data!@SKU, "SKU-1001")
	-Medha Tripathi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=Average_Sales * Seasonal_Index * (1 + Growth_Rate)
	-Medha Tripathi</t>
      </text>
    </comment>
    <comment authorId="0" ref="I108">
      <text>
        <t xml:space="preserve">4-Week Moving Average SKU-1005
	-Medha Tripathi</t>
      </text>
    </comment>
    <comment authorId="0" ref="H108">
      <text>
        <t xml:space="preserve">4-Week Moving Average SKU-1004
	-Medha Tripathi</t>
      </text>
    </comment>
    <comment authorId="0" ref="G108">
      <text>
        <t xml:space="preserve">4-Week Moving Average SKU-1003
	-Medha Tripathi</t>
      </text>
    </comment>
    <comment authorId="0" ref="F108">
      <text>
        <t xml:space="preserve">4-Week Moving Average SKU-1002
	-Medha Tripathi</t>
      </text>
    </comment>
    <comment authorId="0" ref="E108">
      <text>
        <t xml:space="preserve">4-Week Moving Average SKU-1001
	-Medha Tripathi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=1 - MAPE
	-Medha Tripathi</t>
      </text>
    </comment>
    <comment authorId="0" ref="B18">
      <text>
        <t xml:space="preserve">=AVERAGE(Absolute_Percentage_Error_Range)
	-Medha Tripathi</t>
      </text>
    </comment>
    <comment authorId="0" ref="F17">
      <text>
        <t xml:space="preserve">=1 - MAPE
	-Medha Tripathi</t>
      </text>
    </comment>
    <comment authorId="0" ref="A17">
      <text>
        <t xml:space="preserve">=AVERAGE(Absolute_Percentage_Error_Range)
	-Medha Tripathi</t>
      </text>
    </comment>
    <comment authorId="0" ref="O1">
      <text>
        <t xml:space="preserve">=ABS((Actual - Forecast) / Actual)
	-Medha Tripathi</t>
      </text>
    </comment>
  </commentList>
</comments>
</file>

<file path=xl/sharedStrings.xml><?xml version="1.0" encoding="utf-8"?>
<sst xmlns="http://schemas.openxmlformats.org/spreadsheetml/2006/main" count="3551" uniqueCount="161">
  <si>
    <t>Date</t>
  </si>
  <si>
    <t>Year</t>
  </si>
  <si>
    <t>Month</t>
  </si>
  <si>
    <t>Week</t>
  </si>
  <si>
    <t>SKU</t>
  </si>
  <si>
    <t>Product_Name</t>
  </si>
  <si>
    <t>Category</t>
  </si>
  <si>
    <t>Units_Sold</t>
  </si>
  <si>
    <t>Revenue</t>
  </si>
  <si>
    <t>Unit_Price</t>
  </si>
  <si>
    <t>Promotion</t>
  </si>
  <si>
    <t>Stockout</t>
  </si>
  <si>
    <t>Extract Month</t>
  </si>
  <si>
    <t>SKU-1001</t>
  </si>
  <si>
    <t>Bathroom Tissue 12pk</t>
  </si>
  <si>
    <t>Tissue</t>
  </si>
  <si>
    <t>No</t>
  </si>
  <si>
    <t>SKU-1002</t>
  </si>
  <si>
    <t>Paper Towels 6pk</t>
  </si>
  <si>
    <t>Paper Towels</t>
  </si>
  <si>
    <t>Jan</t>
  </si>
  <si>
    <t>SKU-1003</t>
  </si>
  <si>
    <t>Facial Tissue Box</t>
  </si>
  <si>
    <t>Facial Tissue</t>
  </si>
  <si>
    <t>Yes</t>
  </si>
  <si>
    <t>SKU-1004</t>
  </si>
  <si>
    <t>Napkins 200ct</t>
  </si>
  <si>
    <t>Napkins</t>
  </si>
  <si>
    <t>SKU-1005</t>
  </si>
  <si>
    <t>Kitchen Rolls 3pk</t>
  </si>
  <si>
    <t>1/15/2023</t>
  </si>
  <si>
    <t>1/22/2023</t>
  </si>
  <si>
    <t>1/29/2023</t>
  </si>
  <si>
    <t>Feb</t>
  </si>
  <si>
    <t>2/19/2023</t>
  </si>
  <si>
    <t>2/26/2023</t>
  </si>
  <si>
    <t>Mar</t>
  </si>
  <si>
    <t>3/19/2023</t>
  </si>
  <si>
    <t>3/26/2023</t>
  </si>
  <si>
    <t>Apr</t>
  </si>
  <si>
    <t>4/16/2023</t>
  </si>
  <si>
    <t>4/23/2023</t>
  </si>
  <si>
    <t>4/30/2023</t>
  </si>
  <si>
    <t>May</t>
  </si>
  <si>
    <t>5/14/2023</t>
  </si>
  <si>
    <t>5/21/2023</t>
  </si>
  <si>
    <t>5/28/2023</t>
  </si>
  <si>
    <t>Jun</t>
  </si>
  <si>
    <t>6/18/2023</t>
  </si>
  <si>
    <t>6/25/2023</t>
  </si>
  <si>
    <t>Jul</t>
  </si>
  <si>
    <t>7/16/2023</t>
  </si>
  <si>
    <t>7/23/2023</t>
  </si>
  <si>
    <t>7/30/2023</t>
  </si>
  <si>
    <t>Aug</t>
  </si>
  <si>
    <t>8/13/2023</t>
  </si>
  <si>
    <t>8/20/2023</t>
  </si>
  <si>
    <t>8/27/2023</t>
  </si>
  <si>
    <t>Sep</t>
  </si>
  <si>
    <t>9/17/2023</t>
  </si>
  <si>
    <t>9/24/2023</t>
  </si>
  <si>
    <t>Oct</t>
  </si>
  <si>
    <t>10/15/2023</t>
  </si>
  <si>
    <t>10/22/2023</t>
  </si>
  <si>
    <t>10/29/2023</t>
  </si>
  <si>
    <t>Nov</t>
  </si>
  <si>
    <t>11/19/2023</t>
  </si>
  <si>
    <t>11/26/2023</t>
  </si>
  <si>
    <t>Dec</t>
  </si>
  <si>
    <t>12/17/2023</t>
  </si>
  <si>
    <t>12/24/2023</t>
  </si>
  <si>
    <t>12/31/2023</t>
  </si>
  <si>
    <t>1/14/2024</t>
  </si>
  <si>
    <t>1/21/2024</t>
  </si>
  <si>
    <t>1/28/2024</t>
  </si>
  <si>
    <t>2/18/2024</t>
  </si>
  <si>
    <t>2/25/2024</t>
  </si>
  <si>
    <t>3/17/2024</t>
  </si>
  <si>
    <t>3/24/2024</t>
  </si>
  <si>
    <t>3/31/2024</t>
  </si>
  <si>
    <t>4/14/2024</t>
  </si>
  <si>
    <t>4/21/2024</t>
  </si>
  <si>
    <t>4/28/2024</t>
  </si>
  <si>
    <t>5/19/2024</t>
  </si>
  <si>
    <t>5/26/2024</t>
  </si>
  <si>
    <t>6/16/2024</t>
  </si>
  <si>
    <t>6/23/2024</t>
  </si>
  <si>
    <t>6/30/2024</t>
  </si>
  <si>
    <t>7/14/2024</t>
  </si>
  <si>
    <t>7/21/2024</t>
  </si>
  <si>
    <t>7/28/2024</t>
  </si>
  <si>
    <t>8/18/2024</t>
  </si>
  <si>
    <t>8/25/2024</t>
  </si>
  <si>
    <t>9/15/2024</t>
  </si>
  <si>
    <t>9/22/2024</t>
  </si>
  <si>
    <t>9/29/2024</t>
  </si>
  <si>
    <t>10/13/2024</t>
  </si>
  <si>
    <t>10/20/2024</t>
  </si>
  <si>
    <t>10/27/2024</t>
  </si>
  <si>
    <t>11/17/2024</t>
  </si>
  <si>
    <t>11/24/2024</t>
  </si>
  <si>
    <t>12/15/2024</t>
  </si>
  <si>
    <t>12/22/2024</t>
  </si>
  <si>
    <t>Total Sales by SKU</t>
  </si>
  <si>
    <t>Average Weekly Sales (Non-Promo)</t>
  </si>
  <si>
    <t>Average Weekly Sales (With Promo)</t>
  </si>
  <si>
    <t>Promotional Lift %</t>
  </si>
  <si>
    <t>Count of Stockouts</t>
  </si>
  <si>
    <t>Historical Sale SKU-1001</t>
  </si>
  <si>
    <t>Historical Sale SKU-1002</t>
  </si>
  <si>
    <t>Historical Sale SKU-1003</t>
  </si>
  <si>
    <t>Historical Sale SKU-1004</t>
  </si>
  <si>
    <t>Historical Sale SKU-1005</t>
  </si>
  <si>
    <t>Seasonal index SKU-1001</t>
  </si>
  <si>
    <t>Seasonal index SKU-1002</t>
  </si>
  <si>
    <t>Seasonal index SKU-1003</t>
  </si>
  <si>
    <t>Seasonal index SKU-1004</t>
  </si>
  <si>
    <t>Seasonal index SKU-1005</t>
  </si>
  <si>
    <t>Deseasonalized SKU-1001</t>
  </si>
  <si>
    <t>Deseasonalized SKU-1002</t>
  </si>
  <si>
    <t>Deseasonalized SKU-1003</t>
  </si>
  <si>
    <t>Deseasonalized SKU-1004</t>
  </si>
  <si>
    <t>Deseasonalized SKU-1005</t>
  </si>
  <si>
    <t>MEAN SKU-1001</t>
  </si>
  <si>
    <t>MEAN SKU-1002</t>
  </si>
  <si>
    <t>MEAN SKU-1003</t>
  </si>
  <si>
    <t>MEAN SKU-1004</t>
  </si>
  <si>
    <t>MEAN SKU-1005</t>
  </si>
  <si>
    <t>4WKAVG SKU-1001</t>
  </si>
  <si>
    <t>4WKAVG SKU-1002</t>
  </si>
  <si>
    <t>4WKAVG SKU-1003</t>
  </si>
  <si>
    <t>4WKAVG SKU-1004</t>
  </si>
  <si>
    <t>4WKAVG SKU-1005</t>
  </si>
  <si>
    <t>Forecast SKU-1001</t>
  </si>
  <si>
    <t>Forecast  SKU-1002</t>
  </si>
  <si>
    <t>Forecast  SKU-1003</t>
  </si>
  <si>
    <t>Forecast  SKU-1004</t>
  </si>
  <si>
    <t>Forecast  SKU-1005</t>
  </si>
  <si>
    <t>Forecast Deseasonalized SKU-1001</t>
  </si>
  <si>
    <t>Forecast Deseasonalized SKU-1002</t>
  </si>
  <si>
    <t>Forecast Deseasonalized SKU-1003</t>
  </si>
  <si>
    <t>Forecast Deseasonalized SKU-1004</t>
  </si>
  <si>
    <t>Forecast Deseasonalized SKU-1005</t>
  </si>
  <si>
    <t>Actual Demand SKU-1001</t>
  </si>
  <si>
    <t>Actual Demand SKU-1002</t>
  </si>
  <si>
    <t>Actual Demand SKU-1003</t>
  </si>
  <si>
    <t>Actual Demand SKU-1004</t>
  </si>
  <si>
    <t>Actual Demand SKU-1005</t>
  </si>
  <si>
    <t>Absolute percentage error SKU-1001</t>
  </si>
  <si>
    <t>Absolute percentage error SKU-1002</t>
  </si>
  <si>
    <t>Absolute percentage error SKU-1003</t>
  </si>
  <si>
    <t>Absolute percentage error SKU-1004</t>
  </si>
  <si>
    <t>Absolute percentage error SKU-1005</t>
  </si>
  <si>
    <t>MAPE</t>
  </si>
  <si>
    <t>Frecast Accuracy</t>
  </si>
  <si>
    <t>Sales by Month</t>
  </si>
  <si>
    <t>Sales by SKU and Year</t>
  </si>
  <si>
    <t>Promo vs Non-Promo Performance</t>
  </si>
  <si>
    <t>SUM of Units_Sold</t>
  </si>
  <si>
    <t>AVERAGE of Units_Sold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</si>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</sst>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color rgb="FF000000"/>
      <name val="Spectral"/>
    </font>
    <font>
      <color rgb="FF000000"/>
      <name val="Spectral"/>
    </font>
    <font>
      <b/>
      <color rgb="FF000000"/>
      <name val="Calibri"/>
    </font>
    <font>
      <color rgb="FF000000"/>
      <name val="Calibri"/>
    </font>
    <font>
      <b/>
      <color theme="1"/>
      <name val="Spectral"/>
    </font>
    <font>
      <sz val="11.0"/>
      <color theme="1"/>
      <name val="Spectral"/>
    </font>
    <font>
      <color theme="1"/>
      <name val="Spectral"/>
    </font>
    <font>
      <color rgb="FF666666"/>
      <name val="Spectral"/>
    </font>
    <font>
      <color theme="1"/>
      <name val="Calibri"/>
    </font>
    <font>
      <b/>
      <color rgb="FF4D4D4C"/>
      <name val="Spectr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/>
    </xf>
    <xf borderId="1" fillId="2" fontId="2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2" numFmtId="10" xfId="0" applyAlignment="1" applyBorder="1" applyFont="1" applyNumberFormat="1">
      <alignment horizontal="center" readingOrder="0"/>
    </xf>
    <xf borderId="0" fillId="2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 readingOrder="0"/>
    </xf>
    <xf borderId="0" fillId="3" fontId="5" numFmtId="0" xfId="0" applyAlignment="1" applyFont="1">
      <alignment horizontal="center"/>
    </xf>
    <xf borderId="1" fillId="3" fontId="6" numFmtId="164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/>
    </xf>
    <xf borderId="0" fillId="3" fontId="7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3" fontId="7" numFmtId="2" xfId="0" applyAlignment="1" applyFont="1" applyNumberFormat="1">
      <alignment horizontal="center" readingOrder="0"/>
    </xf>
    <xf borderId="0" fillId="3" fontId="7" numFmtId="2" xfId="0" applyAlignment="1" applyFont="1" applyNumberFormat="1">
      <alignment horizontal="center"/>
    </xf>
    <xf borderId="0" fillId="3" fontId="7" numFmtId="164" xfId="0" applyAlignment="1" applyFont="1" applyNumberForma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3" fontId="7" numFmtId="2" xfId="0" applyAlignment="1" applyBorder="1" applyFont="1" applyNumberFormat="1">
      <alignment horizontal="center" readingOrder="0"/>
    </xf>
    <xf borderId="1" fillId="3" fontId="7" numFmtId="2" xfId="0" applyAlignment="1" applyBorder="1" applyFont="1" applyNumberFormat="1">
      <alignment horizontal="center"/>
    </xf>
    <xf borderId="1" fillId="3" fontId="7" numFmtId="164" xfId="0" applyAlignment="1" applyBorder="1" applyFont="1" applyNumberFormat="1">
      <alignment horizontal="center" readingOrder="0"/>
    </xf>
    <xf borderId="0" fillId="3" fontId="9" numFmtId="0" xfId="0" applyAlignment="1" applyFont="1">
      <alignment horizontal="center"/>
    </xf>
    <xf borderId="0" fillId="2" fontId="5" numFmtId="0" xfId="0" applyAlignment="1" applyFont="1">
      <alignment horizontal="center"/>
    </xf>
    <xf borderId="1" fillId="2" fontId="6" numFmtId="164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1" fillId="2" fontId="7" numFmtId="164" xfId="0" applyAlignment="1" applyBorder="1" applyFont="1" applyNumberFormat="1">
      <alignment horizontal="center" readingOrder="0"/>
    </xf>
    <xf borderId="1" fillId="2" fontId="7" numFmtId="10" xfId="0" applyAlignment="1" applyBorder="1" applyFont="1" applyNumberFormat="1">
      <alignment horizontal="center" readingOrder="0"/>
    </xf>
    <xf borderId="2" fillId="2" fontId="10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center"/>
    </xf>
    <xf borderId="4" fillId="2" fontId="5" numFmtId="0" xfId="0" applyAlignment="1" applyBorder="1" applyFont="1">
      <alignment horizontal="center"/>
    </xf>
    <xf borderId="2" fillId="2" fontId="1" numFmtId="0" xfId="0" applyAlignment="1" applyBorder="1" applyFont="1">
      <alignment horizontal="left" readingOrder="0"/>
    </xf>
    <xf borderId="4" fillId="2" fontId="7" numFmtId="0" xfId="0" applyAlignment="1" applyBorder="1" applyFont="1">
      <alignment horizontal="center"/>
    </xf>
    <xf borderId="3" fillId="2" fontId="7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4" fillId="2" fontId="7" numFmtId="0" xfId="0" applyAlignment="1" applyBorder="1" applyFont="1">
      <alignment horizontal="center"/>
    </xf>
    <xf borderId="3" fillId="2" fontId="7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2" fontId="6" numFmtId="0" xfId="0" applyAlignment="1" applyFont="1">
      <alignment horizontal="center"/>
    </xf>
    <xf borderId="0" fillId="2" fontId="9" numFmtId="0" xfId="0" applyAlignment="1" applyFont="1">
      <alignment horizontal="center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10">
    <tableStyle count="3" pivot="0" name="RAW DATA-style">
      <tableStyleElement dxfId="1" type="headerRow"/>
      <tableStyleElement dxfId="2" type="firstRowStripe"/>
      <tableStyleElement dxfId="3" type="secondRowStripe"/>
    </tableStyle>
    <tableStyle count="3" pivot="0" name="PHASE 1-style">
      <tableStyleElement dxfId="1" type="headerRow"/>
      <tableStyleElement dxfId="2" type="firstRowStripe"/>
      <tableStyleElement dxfId="3" type="secondRowStripe"/>
    </tableStyle>
    <tableStyle count="3" pivot="0" name="PHASE 2-style">
      <tableStyleElement dxfId="1" type="headerRow"/>
      <tableStyleElement dxfId="2" type="firstRowStripe"/>
      <tableStyleElement dxfId="3" type="secondRowStripe"/>
    </tableStyle>
    <tableStyle count="3" pivot="0" name="PHASE 2-style 2">
      <tableStyleElement dxfId="1" type="headerRow"/>
      <tableStyleElement dxfId="2" type="firstRowStripe"/>
      <tableStyleElement dxfId="3" type="secondRowStripe"/>
    </tableStyle>
    <tableStyle count="3" pivot="0" name="PHASE 2-style 3">
      <tableStyleElement dxfId="1" type="headerRow"/>
      <tableStyleElement dxfId="2" type="firstRowStripe"/>
      <tableStyleElement dxfId="3" type="secondRowStripe"/>
    </tableStyle>
    <tableStyle count="3" pivot="0" name="PHASE 3-style">
      <tableStyleElement dxfId="1" type="headerRow"/>
      <tableStyleElement dxfId="2" type="firstRowStripe"/>
      <tableStyleElement dxfId="3" type="secondRowStripe"/>
    </tableStyle>
    <tableStyle count="3" pivot="0" name="PHASE 3-style 2">
      <tableStyleElement dxfId="1" type="headerRow"/>
      <tableStyleElement dxfId="2" type="firstRowStripe"/>
      <tableStyleElement dxfId="3" type="secondRowStripe"/>
    </tableStyle>
    <tableStyle count="3" pivot="0" name="PHASE 4-style">
      <tableStyleElement dxfId="1" type="headerRow"/>
      <tableStyleElement dxfId="2" type="firstRowStripe"/>
      <tableStyleElement dxfId="3" type="secondRowStripe"/>
    </tableStyle>
    <tableStyle count="3" pivot="0" name="PHASE 4-style 2">
      <tableStyleElement dxfId="1" type="headerRow"/>
      <tableStyleElement dxfId="2" type="firstRowStripe"/>
      <tableStyleElement dxfId="3" type="secondRowStripe"/>
    </tableStyle>
    <tableStyle count="3" pivot="0" name="PHASE 4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serif"/>
              </a:defRPr>
            </a:pPr>
            <a:r>
              <a:rPr b="1" sz="1600">
                <a:solidFill>
                  <a:srgbClr val="000000"/>
                </a:solidFill>
                <a:latin typeface="serif"/>
              </a:rPr>
              <a:t>Promotional Impact Summary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'PHASE 1'!$E$1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'PHASE 1'!$A$2:$A$6</c:f>
            </c:strRef>
          </c:cat>
          <c:val>
            <c:numRef>
              <c:f>'PHASE 1'!$E$2:$E$6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serif"/>
              </a:defRPr>
            </a:pPr>
            <a:r>
              <a:rPr b="1" sz="1600">
                <a:solidFill>
                  <a:srgbClr val="000000"/>
                </a:solidFill>
                <a:latin typeface="serif"/>
              </a:rPr>
              <a:t>Stockout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'PHASE 1'!$F$1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'PHASE 1'!$A$2:$A$6</c:f>
            </c:strRef>
          </c:cat>
          <c:val>
            <c:numRef>
              <c:f>'PHASE 1'!$F$2:$F$6</c:f>
              <c:numCache/>
            </c:numRef>
          </c:val>
        </c:ser>
        <c:axId val="84673231"/>
        <c:axId val="88454266"/>
      </c:barChart>
      <c:catAx>
        <c:axId val="84673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SKU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dk1"/>
                </a:solidFill>
                <a:latin typeface="serif"/>
              </a:defRPr>
            </a:pPr>
          </a:p>
        </c:txPr>
        <c:crossAx val="88454266"/>
      </c:catAx>
      <c:valAx>
        <c:axId val="88454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serif"/>
                  </a:defRPr>
                </a:pPr>
                <a:r>
                  <a:rPr b="1">
                    <a:solidFill>
                      <a:schemeClr val="dk1"/>
                    </a:solidFill>
                    <a:latin typeface="serif"/>
                  </a:rPr>
                  <a:t>Count of Stockouts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serif"/>
              </a:defRPr>
            </a:pPr>
          </a:p>
        </c:txPr>
        <c:crossAx val="84673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serif"/>
              </a:defRPr>
            </a:pPr>
            <a:r>
              <a:rPr b="1" sz="1600">
                <a:solidFill>
                  <a:schemeClr val="dk1"/>
                </a:solidFill>
                <a:latin typeface="serif"/>
              </a:rPr>
              <a:t>MAPE and Frecast Accuracy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'PHASE 3'!$B$18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'PHASE 3'!$A$19:$A$23</c:f>
            </c:strRef>
          </c:cat>
          <c:val>
            <c:numRef>
              <c:f>'PHASE 3'!$B$19:$B$23</c:f>
              <c:numCache/>
            </c:numRef>
          </c:val>
        </c:ser>
        <c:ser>
          <c:idx val="1"/>
          <c:order val="1"/>
          <c:tx>
            <c:strRef>
              <c:f>'PHASE 3'!$C$18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'PHASE 3'!$A$19:$A$23</c:f>
            </c:strRef>
          </c:cat>
          <c:val>
            <c:numRef>
              <c:f>'PHASE 3'!$C$19:$C$23</c:f>
              <c:numCache/>
            </c:numRef>
          </c:val>
        </c:ser>
        <c:axId val="1572314160"/>
        <c:axId val="1897285732"/>
      </c:barChart>
      <c:catAx>
        <c:axId val="15723141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SKU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dk1"/>
                </a:solidFill>
                <a:latin typeface="serif"/>
              </a:defRPr>
            </a:pPr>
          </a:p>
        </c:txPr>
        <c:crossAx val="1897285732"/>
      </c:catAx>
      <c:valAx>
        <c:axId val="18972857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serif"/>
              </a:defRPr>
            </a:pPr>
          </a:p>
        </c:txPr>
        <c:crossAx val="1572314160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serif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15</xdr:row>
      <xdr:rowOff>161925</xdr:rowOff>
    </xdr:from>
    <xdr:ext cx="3876675" cy="2400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1171575</xdr:colOff>
      <xdr:row>9</xdr:row>
      <xdr:rowOff>114300</xdr:rowOff>
    </xdr:from>
    <xdr:ext cx="3876675" cy="2400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1466850</xdr:colOff>
      <xdr:row>9</xdr:row>
      <xdr:rowOff>114300</xdr:rowOff>
    </xdr:from>
    <xdr:ext cx="4324350" cy="2676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21" sheet="RAW DATA"/>
  </cacheSource>
  <cacheFields>
    <cacheField name="Date">
      <sharedItems containsDate="1" containsMixedTypes="1">
        <d v="2023-01-01T00:00:00Z"/>
        <d v="2023-08-01T00:00:00Z"/>
        <s v="1/15/2023"/>
        <s v="1/22/2023"/>
        <s v="1/29/2023"/>
        <d v="2023-05-02T00:00:00Z"/>
        <d v="2023-12-02T00:00:00Z"/>
        <s v="2/19/2023"/>
        <s v="2/26/2023"/>
        <d v="2023-05-03T00:00:00Z"/>
        <d v="2023-12-03T00:00:00Z"/>
        <s v="3/19/2023"/>
        <s v="3/26/2023"/>
        <d v="2023-02-04T00:00:00Z"/>
        <d v="2023-09-04T00:00:00Z"/>
        <s v="4/16/2023"/>
        <s v="4/23/2023"/>
        <s v="4/30/2023"/>
        <d v="2023-07-05T00:00:00Z"/>
        <s v="5/14/2023"/>
        <s v="5/21/2023"/>
        <s v="5/28/2023"/>
        <d v="2023-04-06T00:00:00Z"/>
        <d v="2023-11-06T00:00:00Z"/>
        <s v="6/18/2023"/>
        <s v="6/25/2023"/>
        <d v="2023-02-07T00:00:00Z"/>
        <d v="2023-09-07T00:00:00Z"/>
        <s v="7/16/2023"/>
        <s v="7/23/2023"/>
        <s v="7/30/2023"/>
        <d v="2023-06-08T00:00:00Z"/>
        <s v="8/13/2023"/>
        <s v="8/20/2023"/>
        <s v="8/27/2023"/>
        <d v="2023-03-09T00:00:00Z"/>
        <d v="2023-10-09T00:00:00Z"/>
        <s v="9/17/2023"/>
        <s v="9/24/2023"/>
        <d v="2023-01-10T00:00:00Z"/>
        <d v="2023-08-10T00:00:00Z"/>
        <s v="10/15/2023"/>
        <s v="10/22/2023"/>
        <s v="10/29/2023"/>
        <d v="2023-05-11T00:00:00Z"/>
        <d v="2023-12-11T00:00:00Z"/>
        <s v="11/19/2023"/>
        <s v="11/26/2023"/>
        <d v="2023-03-12T00:00:00Z"/>
        <d v="2023-10-12T00:00:00Z"/>
        <s v="12/17/2023"/>
        <s v="12/24/2023"/>
        <s v="12/31/2023"/>
        <d v="2024-07-01T00:00:00Z"/>
        <s v="1/14/2024"/>
        <s v="1/21/2024"/>
        <s v="1/28/2024"/>
        <d v="2024-04-02T00:00:00Z"/>
        <d v="2024-11-02T00:00:00Z"/>
        <s v="2/18/2024"/>
        <s v="2/25/2024"/>
        <d v="2024-03-03T00:00:00Z"/>
        <d v="2024-10-03T00:00:00Z"/>
        <s v="3/17/2024"/>
        <s v="3/24/2024"/>
        <s v="3/31/2024"/>
        <d v="2024-07-04T00:00:00Z"/>
        <s v="4/14/2024"/>
        <s v="4/21/2024"/>
        <s v="4/28/2024"/>
        <d v="2024-05-05T00:00:00Z"/>
        <d v="2024-12-05T00:00:00Z"/>
        <s v="5/19/2024"/>
        <s v="5/26/2024"/>
        <d v="2024-02-06T00:00:00Z"/>
        <d v="2024-09-06T00:00:00Z"/>
        <s v="6/16/2024"/>
        <s v="6/23/2024"/>
        <s v="6/30/2024"/>
        <d v="2024-07-07T00:00:00Z"/>
        <s v="7/14/2024"/>
        <s v="7/21/2024"/>
        <s v="7/28/2024"/>
        <d v="2024-04-08T00:00:00Z"/>
        <d v="2024-11-08T00:00:00Z"/>
        <s v="8/18/2024"/>
        <s v="8/25/2024"/>
        <d v="2024-01-09T00:00:00Z"/>
        <d v="2024-08-09T00:00:00Z"/>
        <s v="9/15/2024"/>
        <s v="9/22/2024"/>
        <s v="9/29/2024"/>
        <d v="2024-06-10T00:00:00Z"/>
        <s v="10/13/2024"/>
        <s v="10/20/2024"/>
        <s v="10/27/2024"/>
        <d v="2024-03-11T00:00:00Z"/>
        <d v="2024-10-11T00:00:00Z"/>
        <s v="11/17/2024"/>
        <s v="11/24/2024"/>
        <d v="2024-01-12T00:00:00Z"/>
        <d v="2024-08-12T00:00:00Z"/>
        <s v="12/15/2024"/>
        <s v="12/22/2024"/>
      </sharedItems>
    </cacheField>
    <cacheField name="Year" numFmtId="0">
      <sharedItems containsSemiMixedTypes="0" containsString="0" containsNumber="1" containsInteger="1">
        <n v="2023.0"/>
        <n v="2024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Week" numFmtId="0">
      <sharedItems containsSemiMixedTypes="0" containsString="0" containsNumber="1" containsInteger="1">
        <n v="52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</sharedItems>
    </cacheField>
    <cacheField name="SKU" numFmtId="0">
      <sharedItems>
        <s v="SKU-1001"/>
        <s v="SKU-1002"/>
        <s v="SKU-1003"/>
        <s v="SKU-1004"/>
        <s v="SKU-1005"/>
      </sharedItems>
    </cacheField>
    <cacheField name="Product_Name" numFmtId="0">
      <sharedItems>
        <s v="Bathroom Tissue 12pk"/>
        <s v="Paper Towels 6pk"/>
        <s v="Facial Tissue Box"/>
        <s v="Napkins 200ct"/>
        <s v="Kitchen Rolls 3pk"/>
      </sharedItems>
    </cacheField>
    <cacheField name="Category" numFmtId="0">
      <sharedItems>
        <s v="Tissue"/>
        <s v="Paper Towels"/>
        <s v="Facial Tissue"/>
        <s v="Napkins"/>
      </sharedItems>
    </cacheField>
    <cacheField name="Units_Sold" numFmtId="0">
      <sharedItems containsSemiMixedTypes="0" containsString="0" containsNumber="1" containsInteger="1">
        <n v="410.0"/>
        <n v="266.0"/>
        <n v="412.0"/>
        <n v="180.0"/>
        <n v="189.0"/>
        <n v="356.0"/>
        <n v="230.0"/>
        <n v="249.0"/>
        <n v="48.0"/>
        <n v="160.0"/>
        <n v="348.0"/>
        <n v="364.0"/>
        <n v="267.0"/>
        <n v="132.0"/>
        <n v="317.0"/>
        <n v="550.0"/>
        <n v="212.0"/>
        <n v="237.0"/>
        <n v="192.0"/>
        <n v="443.0"/>
        <n v="311.0"/>
        <n v="250.0"/>
        <n v="185.0"/>
        <n v="229.0"/>
        <n v="761.0"/>
        <n v="339.0"/>
        <n v="346.0"/>
        <n v="193.0"/>
        <n v="553.0"/>
        <n v="296.0"/>
        <n v="320.0"/>
        <n v="200.0"/>
        <n v="216.0"/>
        <n v="430.0"/>
        <n v="322.0"/>
        <n v="380.0"/>
        <n v="186.0"/>
        <n v="256.0"/>
        <n v="96.0"/>
        <n v="321.0"/>
        <n v="383.0"/>
        <n v="283.0"/>
        <n v="505.0"/>
        <n v="491.0"/>
        <n v="375.0"/>
        <n v="58.0"/>
        <n v="223.0"/>
        <n v="382.0"/>
        <n v="182.0"/>
        <n v="336.0"/>
        <n v="316.0"/>
        <n v="199.0"/>
        <n v="255.0"/>
        <n v="665.0"/>
        <n v="289.0"/>
        <n v="232.0"/>
        <n v="211.0"/>
        <n v="277.0"/>
        <n v="677.0"/>
        <n v="280.0"/>
        <n v="248.0"/>
        <n v="347.0"/>
        <n v="304.0"/>
        <n v="190.0"/>
        <n v="227.0"/>
        <n v="515.0"/>
        <n v="281.0"/>
        <n v="407.0"/>
        <n v="203.0"/>
        <n v="264.0"/>
        <n v="492.0"/>
        <n v="350.0"/>
        <n v="308.0"/>
        <n v="225.0"/>
        <n v="64.0"/>
        <n v="441.0"/>
        <n v="150.0"/>
        <n v="215.0"/>
        <n v="195.0"/>
        <n v="204.0"/>
        <n v="461.0"/>
        <n v="293.0"/>
        <n v="198.0"/>
        <n v="262.0"/>
        <n v="518.0"/>
        <n v="302.0"/>
        <n v="282.0"/>
        <n v="489.0"/>
        <n v="274.0"/>
        <n v="47.0"/>
        <n v="297.0"/>
        <n v="360.0"/>
        <n v="471.0"/>
        <n v="260.0"/>
        <n v="240.0"/>
        <n v="603.0"/>
        <n v="79.0"/>
        <n v="328.0"/>
        <n v="197.0"/>
        <n v="247.0"/>
        <n v="453.0"/>
        <n v="169.0"/>
        <n v="495.0"/>
        <n v="88.0"/>
        <n v="270.0"/>
        <n v="171.0"/>
        <n v="187.0"/>
        <n v="210.0"/>
        <n v="273.0"/>
        <n v="202.0"/>
        <n v="138.0"/>
        <n v="402.0"/>
        <n v="307.0"/>
        <n v="184.0"/>
        <n v="194.0"/>
        <n v="459.0"/>
        <n v="389.0"/>
        <n v="374.0"/>
        <n v="176.0"/>
        <n v="476.0"/>
        <n v="393.0"/>
        <n v="155.0"/>
        <n v="208.0"/>
        <n v="94.0"/>
        <n v="261.0"/>
        <n v="431.0"/>
        <n v="324.0"/>
        <n v="479.0"/>
        <n v="196.0"/>
        <n v="390.0"/>
        <n v="323.0"/>
        <n v="233.0"/>
        <n v="291.0"/>
        <n v="469.0"/>
        <n v="362.0"/>
        <n v="146.0"/>
        <n v="570.0"/>
        <n v="334.0"/>
        <n v="279.0"/>
        <n v="717.0"/>
        <n v="349.0"/>
        <n v="50.0"/>
        <n v="458.0"/>
        <n v="259.0"/>
        <n v="284.0"/>
        <n v="271.0"/>
        <n v="519.0"/>
        <n v="214.0"/>
        <n v="354.0"/>
        <n v="367.0"/>
        <n v="165.0"/>
        <n v="571.0"/>
        <n v="218.0"/>
        <n v="426.0"/>
        <n v="405.0"/>
        <n v="424.0"/>
        <n v="228.0"/>
        <n v="521.0"/>
        <n v="315.0"/>
        <n v="209.0"/>
        <n v="251.0"/>
        <n v="464.0"/>
        <n v="272.0"/>
        <n v="335.0"/>
        <n v="157.0"/>
        <n v="413.0"/>
        <n v="352.0"/>
        <n v="371.0"/>
        <n v="326.0"/>
        <n v="671.0"/>
        <n v="422.0"/>
        <n v="465.0"/>
        <n v="794.0"/>
        <n v="654.0"/>
        <n v="440.0"/>
        <n v="591.0"/>
        <n v="551.0"/>
        <n v="423.0"/>
        <n v="394.0"/>
        <n v="325.0"/>
        <n v="542.0"/>
        <n v="511.0"/>
        <n v="415.0"/>
        <n v="1218.0"/>
        <n v="420.0"/>
        <n v="588.0"/>
        <n v="456.0"/>
        <n v="646.0"/>
        <n v="605.0"/>
        <n v="236.0"/>
        <n v="457.0"/>
        <n v="532.0"/>
        <n v="454.0"/>
        <n v="395.0"/>
        <n v="268.0"/>
        <n v="312.0"/>
        <n v="384.0"/>
        <n v="528.0"/>
        <n v="313.0"/>
        <n v="333.0"/>
        <n v="544.0"/>
        <n v="263.0"/>
        <n v="376.0"/>
        <n v="188.0"/>
        <n v="614.0"/>
        <n v="81.0"/>
        <n v="318.0"/>
        <n v="314.0"/>
        <n v="75.0"/>
        <n v="298.0"/>
        <n v="252.0"/>
        <n v="221.0"/>
        <n v="351.0"/>
        <n v="43.0"/>
        <n v="300.0"/>
        <n v="309.0"/>
        <n v="526.0"/>
        <n v="409.0"/>
        <n v="522.0"/>
        <n v="388.0"/>
        <n v="220.0"/>
        <n v="275.0"/>
        <n v="554.0"/>
        <n v="361.0"/>
        <n v="91.0"/>
        <n v="168.0"/>
        <n v="294.0"/>
        <n v="477.0"/>
        <n v="446.0"/>
        <n v="105.0"/>
        <n v="101.0"/>
        <n v="295.0"/>
        <n v="278.0"/>
        <n v="246.0"/>
        <n v="173.0"/>
        <n v="366.0"/>
        <n v="310.0"/>
        <n v="439.0"/>
        <n v="241.0"/>
        <n v="739.0"/>
        <n v="444.0"/>
        <n v="416.0"/>
        <n v="257.0"/>
        <n v="566.0"/>
        <n v="377.0"/>
        <n v="276.0"/>
        <n v="421.0"/>
        <n v="242.0"/>
        <n v="535.0"/>
        <n v="355.0"/>
        <n v="370.0"/>
        <n v="796.0"/>
        <n v="82.0"/>
        <n v="301.0"/>
        <n v="478.0"/>
        <n v="201.0"/>
        <n v="235.0"/>
        <n v="57.0"/>
        <n v="529.0"/>
        <n v="359.0"/>
        <n v="391.0"/>
        <n v="305.0"/>
        <n v="265.0"/>
        <n v="67.0"/>
        <n v="344.0"/>
        <n v="696.0"/>
        <n v="343.0"/>
        <n v="287.0"/>
        <n v="239.0"/>
        <n v="288.0"/>
        <n v="234.0"/>
        <n v="299.0"/>
        <n v="45.0"/>
        <n v="548.0"/>
        <n v="290.0"/>
        <n v="141.0"/>
        <n v="516.0"/>
        <n v="345.0"/>
        <n v="166.0"/>
        <n v="770.0"/>
        <n v="330.0"/>
        <n v="398.0"/>
        <n v="480.0"/>
        <n v="217.0"/>
        <n v="303.0"/>
        <n v="95.0"/>
        <n v="183.0"/>
        <n v="60.0"/>
        <n v="607.0"/>
        <n v="238.0"/>
        <n v="659.0"/>
        <n v="417.0"/>
        <n v="435.0"/>
        <n v="475.0"/>
        <n v="513.0"/>
        <n v="455.0"/>
        <n v="585.0"/>
        <n v="589.0"/>
        <n v="449.0"/>
        <n v="790.0"/>
        <n v="490.0"/>
        <n v="596.0"/>
        <n v="470.0"/>
        <n v="595.0"/>
        <n v="728.0"/>
        <n v="561.0"/>
        <n v="593.0"/>
        <n v="487.0"/>
        <n v="825.0"/>
        <n v="191.0"/>
        <n v="658.0"/>
        <n v="599.0"/>
        <n v="498.0"/>
        <n v="666.0"/>
        <n v="534.0"/>
        <n v="723.0"/>
        <n v="612.0"/>
      </sharedItems>
    </cacheField>
    <cacheField name="Revenue" numFmtId="0">
      <sharedItems containsSemiMixedTypes="0" containsString="0" containsNumber="1">
        <n v="5325.9"/>
        <n v="4120.34"/>
        <n v="1643.88"/>
        <n v="808.2"/>
        <n v="1699.11"/>
        <n v="4624.44"/>
        <n v="3562.7"/>
        <n v="993.51"/>
        <n v="215.52"/>
        <n v="1438.4"/>
        <n v="4520.52"/>
        <n v="5638.36"/>
        <n v="1065.33"/>
        <n v="592.68"/>
        <n v="2849.83"/>
        <n v="7144.5"/>
        <n v="3283.88"/>
        <n v="845.88"/>
        <n v="1064.13"/>
        <n v="1726.08"/>
        <n v="5754.57"/>
        <n v="4817.39"/>
        <n v="997.5"/>
        <n v="830.65"/>
        <n v="2058.71"/>
        <n v="9885.39"/>
        <n v="5251.11"/>
        <n v="1380.54"/>
        <n v="866.57"/>
        <n v="2067.7"/>
        <n v="7183.47"/>
        <n v="4585.04"/>
        <n v="1276.8"/>
        <n v="898.0"/>
        <n v="1941.84"/>
        <n v="5585.7"/>
        <n v="4987.78"/>
        <n v="1516.2"/>
        <n v="835.14"/>
        <n v="2301.44"/>
        <n v="1247.04"/>
        <n v="4972.29"/>
        <n v="1528.17"/>
        <n v="2544.17"/>
        <n v="6559.95"/>
        <n v="7605.59"/>
        <n v="1496.25"/>
        <n v="260.42"/>
        <n v="2004.77"/>
        <n v="4962.18"/>
        <n v="5359.54"/>
        <n v="817.18"/>
        <n v="2247.5"/>
        <n v="5204.64"/>
        <n v="1260.84"/>
        <n v="893.51"/>
        <n v="2292.45"/>
        <n v="8638.35"/>
        <n v="4476.61"/>
        <n v="925.68"/>
        <n v="947.39"/>
        <n v="2490.23"/>
        <n v="8794.23"/>
        <n v="4337.2"/>
        <n v="989.52"/>
        <n v="862.08"/>
        <n v="2661.04"/>
        <n v="4975.17"/>
        <n v="5375.03"/>
        <n v="1212.96"/>
        <n v="853.1"/>
        <n v="2040.73"/>
        <n v="6689.85"/>
        <n v="4352.69"/>
        <n v="1623.93"/>
        <n v="911.47"/>
        <n v="2373.36"/>
        <n v="6391.08"/>
        <n v="5421.5"/>
        <n v="1228.92"/>
        <n v="1010.25"/>
        <n v="575.36"/>
        <n v="5728.59"/>
        <n v="2323.5"/>
        <n v="857.85"/>
        <n v="875.55"/>
        <n v="1833.96"/>
        <n v="5988.39"/>
        <n v="4538.57"/>
        <n v="790.02"/>
        <n v="889.02"/>
        <n v="2355.38"/>
        <n v="6728.82"/>
        <n v="6381.88"/>
        <n v="1204.98"/>
        <n v="1144.95"/>
        <n v="2535.18"/>
        <n v="6352.11"/>
        <n v="1093.26"/>
        <n v="211.03"/>
        <n v="2670.03"/>
        <n v="4676.4"/>
        <n v="7295.79"/>
        <n v="1037.4"/>
        <n v="1077.6"/>
        <n v="1789.01"/>
        <n v="7832.97"/>
        <n v="1223.71"/>
        <n v="1308.72"/>
        <n v="884.53"/>
        <n v="2220.53"/>
        <n v="5884.47"/>
        <n v="1045.38"/>
        <n v="758.81"/>
        <n v="3236.4"/>
        <n v="6430.05"/>
        <n v="1363.12"/>
        <n v="1077.3"/>
        <n v="767.79"/>
        <n v="1681.13"/>
        <n v="4403.61"/>
        <n v="889.77"/>
        <n v="965.35"/>
        <n v="1887.9"/>
        <n v="4228.77"/>
        <n v="805.98"/>
        <n v="619.62"/>
        <n v="1771.03"/>
        <n v="5221.98"/>
        <n v="1224.93"/>
        <n v="826.16"/>
        <n v="1744.06"/>
        <n v="5962.41"/>
        <n v="6025.61"/>
        <n v="1492.26"/>
        <n v="790.24"/>
        <n v="2427.3"/>
        <n v="6183.24"/>
        <n v="6087.57"/>
        <n v="905.73"/>
        <n v="695.95"/>
        <n v="4182.3"/>
        <n v="829.92"/>
        <n v="422.06"/>
        <n v="2346.39"/>
        <n v="5598.69"/>
        <n v="5018.76"/>
        <n v="1911.21"/>
        <n v="880.04"/>
        <n v="2238.51"/>
        <n v="5066.1"/>
        <n v="5003.27"/>
        <n v="1240.89"/>
        <n v="1046.17"/>
        <n v="2616.09"/>
        <n v="6092.31"/>
        <n v="5607.38"/>
        <n v="582.54"/>
        <n v="1019.23"/>
        <n v="1636.18"/>
        <n v="7404.3"/>
        <n v="5173.66"/>
        <n v="871.06"/>
        <n v="2508.21"/>
        <n v="9313.83"/>
        <n v="5406.01"/>
        <n v="224.5"/>
        <n v="2400.33"/>
        <n v="5949.42"/>
        <n v="1033.41"/>
        <n v="1275.16"/>
        <n v="2436.29"/>
        <n v="6741.81"/>
        <n v="3965.44"/>
        <n v="1951.11"/>
        <n v="960.86"/>
        <n v="3272.36"/>
        <n v="4598.46"/>
        <n v="7419.71"/>
        <n v="1464.33"/>
        <n v="740.85"/>
        <n v="3128.52"/>
        <n v="7417.29"/>
        <n v="1125.18"/>
        <n v="978.82"/>
        <n v="5533.74"/>
        <n v="6273.45"/>
        <n v="1691.76"/>
        <n v="2049.72"/>
        <n v="6767.79"/>
        <n v="3857.01"/>
        <n v="1256.85"/>
        <n v="938.41"/>
        <n v="2256.49"/>
        <n v="6027.36"/>
        <n v="4213.28"/>
        <n v="1336.65"/>
        <n v="1411.43"/>
        <n v="5364.87"/>
        <n v="5452.48"/>
        <n v="1480.29"/>
        <n v="1463.74"/>
        <n v="2328.41"/>
        <n v="8716.29"/>
        <n v="6536.78"/>
        <n v="1855.35"/>
        <n v="1126.99"/>
        <n v="3047.61"/>
        <n v="10314.06"/>
        <n v="10130.46"/>
        <n v="1755.6"/>
        <n v="1261.69"/>
        <n v="7677.09"/>
        <n v="8534.99"/>
        <n v="1687.77"/>
        <n v="1769.06"/>
        <n v="2921.75"/>
        <n v="7040.58"/>
        <n v="7915.39"/>
        <n v="1899.24"/>
        <n v="3730.85"/>
        <n v="15821.82"/>
        <n v="7140.89"/>
        <n v="1243.73"/>
        <n v="3775.8"/>
        <n v="7638.12"/>
        <n v="7063.44"/>
        <n v="2577.54"/>
        <n v="1023.72"/>
        <n v="7858.95"/>
        <n v="12299.06"/>
        <n v="941.64"/>
        <n v="1198.83"/>
        <n v="4108.43"/>
        <n v="6910.68"/>
        <n v="7032.46"/>
        <n v="1576.05"/>
        <n v="1203.32"/>
        <n v="2804.88"/>
        <n v="4988.16"/>
        <n v="8178.72"/>
        <n v="1248.87"/>
        <n v="1495.17"/>
        <n v="4890.56"/>
        <n v="6222.21"/>
        <n v="4073.87"/>
        <n v="1500.24"/>
        <n v="844.12"/>
        <n v="7975.86"/>
        <n v="1254.69"/>
        <n v="1049.37"/>
        <n v="4130.82"/>
        <n v="3051.53"/>
        <n v="1252.86"/>
        <n v="674.25"/>
        <n v="5481.78"/>
        <n v="4616.02"/>
        <n v="1005.48"/>
        <n v="1986.79"/>
        <n v="5260.95"/>
        <n v="5436.99"/>
        <n v="1352.61"/>
        <n v="193.07"/>
        <n v="4647.0"/>
        <n v="1041.68"/>
        <n v="2777.91"/>
        <n v="6832.74"/>
        <n v="7264.81"/>
        <n v="1631.91"/>
        <n v="2885.79"/>
        <n v="6780.78"/>
        <n v="6010.12"/>
        <n v="1169.07"/>
        <n v="987.8"/>
        <n v="2472.25"/>
        <n v="7196.46"/>
        <n v="5591.89"/>
        <n v="363.09"/>
        <n v="754.32"/>
        <n v="2643.06"/>
        <n v="7388.73"/>
        <n v="1552.11"/>
        <n v="5793.54"/>
        <n v="1626.45"/>
        <n v="402.99"/>
        <n v="915.96"/>
        <n v="2652.05"/>
        <n v="1109.22"/>
        <n v="1104.54"/>
        <n v="1824.97"/>
        <n v="2247.27"/>
        <n v="6378.09"/>
        <n v="5669.34"/>
        <n v="1162.91"/>
        <n v="2786.9"/>
        <n v="5702.61"/>
        <n v="1288.77"/>
        <n v="2166.59"/>
        <n v="9599.61"/>
        <n v="6877.56"/>
        <n v="1659.84"/>
        <n v="1153.93"/>
        <n v="7352.34"/>
        <n v="5839.73"/>
        <n v="1524.18"/>
        <n v="2481.24"/>
        <n v="1679.79"/>
        <n v="1086.58"/>
        <n v="6949.65"/>
        <n v="5498.95"/>
        <n v="1476.3"/>
        <n v="848.61"/>
        <n v="3326.3"/>
        <n v="10340.04"/>
        <n v="4089.36"/>
        <n v="327.18"/>
        <n v="1351.49"/>
        <n v="6209.22"/>
        <n v="4151.32"/>
        <n v="801.99"/>
        <n v="2112.65"/>
        <n v="6196.23"/>
        <n v="4708.96"/>
        <n v="1069.32"/>
        <n v="255.93"/>
        <n v="1690.12"/>
        <n v="6871.71"/>
        <n v="5034.25"/>
        <n v="1153.11"/>
        <n v="3227.41"/>
        <n v="5079.09"/>
        <n v="1216.95"/>
        <n v="3598.23"/>
        <n v="4104.85"/>
        <n v="1504.23"/>
        <n v="300.83"/>
        <n v="2364.37"/>
        <n v="4306.22"/>
        <n v="1372.56"/>
        <n v="906.98"/>
        <n v="3542.06"/>
        <n v="9041.04"/>
        <n v="5313.07"/>
        <n v="1145.13"/>
        <n v="2148.61"/>
        <n v="5118.06"/>
        <n v="4461.12"/>
        <n v="2103.66"/>
        <n v="2416.14"/>
        <n v="4631.51"/>
        <n v="813.96"/>
        <n v="202.05"/>
        <n v="7118.52"/>
        <n v="4492.1"/>
        <n v="1193.01"/>
        <n v="633.09"/>
        <n v="1896.89"/>
        <n v="6702.84"/>
        <n v="5344.05"/>
        <n v="1420.44"/>
        <n v="1082.09"/>
        <n v="5105.07"/>
        <n v="6304.43"/>
        <n v="745.34"/>
        <n v="2858.82"/>
        <n v="10002.3"/>
        <n v="5111.7"/>
        <n v="1588.02"/>
        <n v="2265.48"/>
        <n v="7435.2"/>
        <n v="1376.55"/>
        <n v="974.33"/>
        <n v="2723.97"/>
        <n v="5351.88"/>
        <n v="4879.35"/>
        <n v="1560.09"/>
        <n v="6350.9"/>
        <n v="379.05"/>
        <n v="821.67"/>
        <n v="2454.27"/>
        <n v="269.4"/>
        <n v="2391.34"/>
        <n v="7884.93"/>
        <n v="1068.62"/>
        <n v="8560.41"/>
        <n v="6226.98"/>
        <n v="1663.83"/>
        <n v="1032.7"/>
        <n v="3434.18"/>
        <n v="5650.65"/>
        <n v="1122.5"/>
        <n v="6170.25"/>
        <n v="4925.82"/>
        <n v="1347.0"/>
        <n v="2831.85"/>
        <n v="2121.64"/>
        <n v="6663.87"/>
        <n v="5932.67"/>
        <n v="1815.45"/>
        <n v="3137.51"/>
        <n v="7599.15"/>
        <n v="9123.61"/>
        <n v="1791.51"/>
        <n v="2195.61"/>
        <n v="2912.76"/>
        <n v="10262.1"/>
        <n v="7590.1"/>
        <n v="1264.83"/>
        <n v="2607.1"/>
        <n v="7742.04"/>
        <n v="7280.3"/>
        <n v="2374.05"/>
        <n v="992.29"/>
        <n v="3712.87"/>
        <n v="9456.72"/>
        <n v="8689.89"/>
        <n v="2366.07"/>
        <n v="1288.63"/>
        <n v="4378.13"/>
        <n v="10716.75"/>
        <n v="5886.2"/>
        <n v="857.59"/>
        <n v="8547.42"/>
        <n v="9278.51"/>
        <n v="1907.22"/>
        <n v="1270.67"/>
        <n v="4477.02"/>
        <n v="8651.34"/>
        <n v="8271.66"/>
        <n v="1396.5"/>
        <n v="1692.73"/>
        <n v="9391.77"/>
        <n v="6335.41"/>
        <n v="1719.67"/>
        <n v="5501.88"/>
      </sharedItems>
    </cacheField>
    <cacheField name="Unit_Price" numFmtId="0">
      <sharedItems containsSemiMixedTypes="0" containsString="0" containsNumber="1">
        <n v="12.99"/>
        <n v="15.49"/>
        <n v="3.99"/>
        <n v="4.49"/>
        <n v="8.99"/>
      </sharedItems>
    </cacheField>
    <cacheField name="Promotion" numFmtId="0">
      <sharedItems>
        <s v="No"/>
        <s v="Yes"/>
      </sharedItems>
    </cacheField>
    <cacheField name="Stockout" numFmtId="0">
      <sharedItems>
        <s v="No"/>
        <s v="Yes"/>
      </sharedItems>
    </cacheField>
    <cacheField name="Extract Month" numFmtId="0">
      <sharedItems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HASE 4" cacheId="0" dataCaption="" compact="0" compactData="0">
  <location ref="A2:B15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motion" compact="0" outline="0" multipleItemSelectionAllowed="1" showAll="0">
      <items>
        <item x="0"/>
        <item x="1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name="Extrac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</rowFields>
  <dataFields>
    <dataField name="SUM of Units_Sold" fld="7" baseField="0"/>
  </dataFields>
</pivotTableDefinition>
</file>

<file path=xl/pivotTables/pivotTable2.xml><?xml version="1.0" encoding="utf-8"?>
<pivotTableDefinition xmlns="http://schemas.openxmlformats.org/spreadsheetml/2006/main" name="PHASE 4 2" cacheId="0" dataCaption="" compact="0" compactData="0">
  <location ref="D2:G9" firstHeaderRow="0" firstDataRow="1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Year" axis="axisCol" compact="0" outline="0" multipleItemSelectionAllowed="1" showAll="0" sortType="ascending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KU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motion" compact="0" outline="0" multipleItemSelectionAllowed="1" showAll="0">
      <items>
        <item x="0"/>
        <item x="1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name="Extrac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colFields>
    <field x="1"/>
  </colFields>
  <dataFields>
    <dataField name="SUM of Units_Sold" fld="7" baseField="0"/>
  </dataFields>
</pivotTableDefinition>
</file>

<file path=xl/pivotTables/pivotTable3.xml><?xml version="1.0" encoding="utf-8"?>
<pivotTableDefinition xmlns="http://schemas.openxmlformats.org/spreadsheetml/2006/main" name="PHASE 4 3" cacheId="0" dataCaption="" compact="0" compactData="0">
  <location ref="I2:L9" firstHeaderRow="0" firstDataRow="1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KU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motion" axis="axisCol" compact="0" outline="0" multipleItemSelectionAllowed="1" showAll="0" sortType="ascending">
      <items>
        <item x="0"/>
        <item x="1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name="Extrac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colFields>
    <field x="10"/>
  </colFields>
  <dataFields>
    <dataField name="AVERAGE of Units_Sold" fld="7" subtotal="average" baseField="0"/>
  </dataFields>
</pivotTableDefinition>
</file>

<file path=xl/tables/table1.xml><?xml version="1.0" encoding="utf-8"?>
<table xmlns="http://schemas.openxmlformats.org/spreadsheetml/2006/main" ref="A1:M521" displayName="Table_1" name="Table_1" id="1">
  <tableColumns count="13">
    <tableColumn name="Date" id="1"/>
    <tableColumn name="Year" id="2"/>
    <tableColumn name="Month" id="3"/>
    <tableColumn name="Week" id="4"/>
    <tableColumn name="SKU" id="5"/>
    <tableColumn name="Product_Name" id="6"/>
    <tableColumn name="Category" id="7"/>
    <tableColumn name="Units_Sold" id="8"/>
    <tableColumn name="Revenue" id="9"/>
    <tableColumn name="Unit_Price" id="10"/>
    <tableColumn name="Promotion" id="11"/>
    <tableColumn name="Stockout" id="12"/>
    <tableColumn name="Extract Month" id="13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ref="A1:F6" displayName="Table_2" name="Table_2" id="2">
  <tableColumns count="6">
    <tableColumn name="SKU" id="1"/>
    <tableColumn name="Total Sales by SKU" id="2"/>
    <tableColumn name="Average Weekly Sales (Non-Promo)" id="3"/>
    <tableColumn name="Average Weekly Sales (With Promo)" id="4"/>
    <tableColumn name="Promotional Lift %" id="5"/>
    <tableColumn name="Count of Stockouts" id="6"/>
  </tableColumns>
  <tableStyleInfo name="PHASE 1-style" showColumnStripes="0" showFirstColumn="1" showLastColumn="1" showRowStripes="1"/>
</table>
</file>

<file path=xl/tables/table3.xml><?xml version="1.0" encoding="utf-8"?>
<table xmlns="http://schemas.openxmlformats.org/spreadsheetml/2006/main" ref="A1:S105" displayName="Table_3" name="Table_3" id="3">
  <tableColumns count="19">
    <tableColumn name="Date" id="1"/>
    <tableColumn name="Year" id="2"/>
    <tableColumn name="Month" id="3"/>
    <tableColumn name="Week" id="4"/>
    <tableColumn name="Historical Sale SKU-1001" id="5"/>
    <tableColumn name="Historical Sale SKU-1002" id="6"/>
    <tableColumn name="Historical Sale SKU-1003" id="7"/>
    <tableColumn name="Historical Sale SKU-1004" id="8"/>
    <tableColumn name="Historical Sale SKU-1005" id="9"/>
    <tableColumn name="Seasonal index SKU-1001" id="10"/>
    <tableColumn name="Seasonal index SKU-1002" id="11"/>
    <tableColumn name="Seasonal index SKU-1003" id="12"/>
    <tableColumn name="Seasonal index SKU-1004" id="13"/>
    <tableColumn name="Seasonal index SKU-1005" id="14"/>
    <tableColumn name="Deseasonalized SKU-1001" id="15"/>
    <tableColumn name="Deseasonalized SKU-1002" id="16"/>
    <tableColumn name="Deseasonalized SKU-1003" id="17"/>
    <tableColumn name="Deseasonalized SKU-1004" id="18"/>
    <tableColumn name="Deseasonalized SKU-1005" id="19"/>
  </tableColumns>
  <tableStyleInfo name="PHASE 2-style" showColumnStripes="0" showFirstColumn="1" showLastColumn="1" showRowStripes="1"/>
</table>
</file>

<file path=xl/tables/table4.xml><?xml version="1.0" encoding="utf-8"?>
<table xmlns="http://schemas.openxmlformats.org/spreadsheetml/2006/main" ref="T1:X2" displayName="Table_4" name="Table_4" id="4">
  <tableColumns count="5">
    <tableColumn name="MEAN SKU-1001" id="1"/>
    <tableColumn name="MEAN SKU-1002" id="2"/>
    <tableColumn name="MEAN SKU-1003" id="3"/>
    <tableColumn name="MEAN SKU-1004" id="4"/>
    <tableColumn name="MEAN SKU-1005" id="5"/>
  </tableColumns>
  <tableStyleInfo name="PHASE 2-style 2" showColumnStripes="0" showFirstColumn="1" showLastColumn="1" showRowStripes="1"/>
</table>
</file>

<file path=xl/tables/table5.xml><?xml version="1.0" encoding="utf-8"?>
<table xmlns="http://schemas.openxmlformats.org/spreadsheetml/2006/main" ref="A108:S121" displayName="Table_5" name="Table_5" id="5">
  <tableColumns count="19">
    <tableColumn name="Date" id="1"/>
    <tableColumn name="Year" id="2"/>
    <tableColumn name="Month" id="3"/>
    <tableColumn name="Week" id="4"/>
    <tableColumn name="4WKAVG SKU-1001" id="5"/>
    <tableColumn name="4WKAVG SKU-1002" id="6"/>
    <tableColumn name="4WKAVG SKU-1003" id="7"/>
    <tableColumn name="4WKAVG SKU-1004" id="8"/>
    <tableColumn name="4WKAVG SKU-1005" id="9"/>
    <tableColumn name="Forecast SKU-1001" id="10"/>
    <tableColumn name="Forecast  SKU-1002" id="11"/>
    <tableColumn name="Forecast  SKU-1003" id="12"/>
    <tableColumn name="Forecast  SKU-1004" id="13"/>
    <tableColumn name="Forecast  SKU-1005" id="14"/>
    <tableColumn name="Forecast Deseasonalized SKU-1001" id="15"/>
    <tableColumn name="Forecast Deseasonalized SKU-1002" id="16"/>
    <tableColumn name="Forecast Deseasonalized SKU-1003" id="17"/>
    <tableColumn name="Forecast Deseasonalized SKU-1004" id="18"/>
    <tableColumn name="Forecast Deseasonalized SKU-1005" id="19"/>
  </tableColumns>
  <tableStyleInfo name="PHASE 2-style 3" showColumnStripes="0" showFirstColumn="1" showLastColumn="1" showRowStripes="1"/>
</table>
</file>

<file path=xl/tables/table6.xml><?xml version="1.0" encoding="utf-8"?>
<table xmlns="http://schemas.openxmlformats.org/spreadsheetml/2006/main" ref="A1:S14" displayName="Table_6" name="Table_6" id="6">
  <tableColumns count="19">
    <tableColumn name="Date" id="1"/>
    <tableColumn name="Year" id="2"/>
    <tableColumn name="Month" id="3"/>
    <tableColumn name="Week" id="4"/>
    <tableColumn name="Actual Demand SKU-1001" id="5"/>
    <tableColumn name="Actual Demand SKU-1002" id="6"/>
    <tableColumn name="Actual Demand SKU-1003" id="7"/>
    <tableColumn name="Actual Demand SKU-1004" id="8"/>
    <tableColumn name="Actual Demand SKU-1005" id="9"/>
    <tableColumn name="Forecast SKU-1001" id="10"/>
    <tableColumn name="Forecast  SKU-1002" id="11"/>
    <tableColumn name="Forecast  SKU-1003" id="12"/>
    <tableColumn name="Forecast  SKU-1004" id="13"/>
    <tableColumn name="Forecast  SKU-1005" id="14"/>
    <tableColumn name="Absolute percentage error SKU-1001" id="15"/>
    <tableColumn name="Absolute percentage error SKU-1002" id="16"/>
    <tableColumn name="Absolute percentage error SKU-1003" id="17"/>
    <tableColumn name="Absolute percentage error SKU-1004" id="18"/>
    <tableColumn name="Absolute percentage error SKU-1005" id="19"/>
  </tableColumns>
  <tableStyleInfo name="PHASE 3-style" showColumnStripes="0" showFirstColumn="1" showLastColumn="1" showRowStripes="1"/>
</table>
</file>

<file path=xl/tables/table7.xml><?xml version="1.0" encoding="utf-8"?>
<table xmlns="http://schemas.openxmlformats.org/spreadsheetml/2006/main" ref="A18:C23" displayName="Table_7" name="Table_7" id="7">
  <tableColumns count="3">
    <tableColumn name="SKU" id="1"/>
    <tableColumn name="MAPE" id="2"/>
    <tableColumn name="Frecast Accuracy" id="3"/>
  </tableColumns>
  <tableStyleInfo name="PHASE 3-style 2" showColumnStripes="0" showFirstColumn="1" showLastColumn="1" showRowStripes="1"/>
</table>
</file>

<file path=xl/tables/table8.xml><?xml version="1.0" encoding="utf-8"?>
<table xmlns="http://schemas.openxmlformats.org/spreadsheetml/2006/main" ref="A2:B15" displayName="Table_8" name="Table_8" id="8">
  <tableColumns count="2">
    <tableColumn name="Month" id="1"/>
    <tableColumn name="SUM of Units_Sold" id="2"/>
  </tableColumns>
  <tableStyleInfo name="PHASE 4-style" showColumnStripes="0" showFirstColumn="1" showLastColumn="1" showRowStripes="1"/>
</table>
</file>

<file path=xl/tables/table9.xml><?xml version="1.0" encoding="utf-8"?>
<table xmlns="http://schemas.openxmlformats.org/spreadsheetml/2006/main" headerRowCount="0" ref="D2:G9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PHASE 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I2:L9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PHASE 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5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5.xml"/><Relationship Id="rId10" Type="http://schemas.openxmlformats.org/officeDocument/2006/relationships/table" Target="../tables/table10.xml"/><Relationship Id="rId9" Type="http://schemas.openxmlformats.org/officeDocument/2006/relationships/table" Target="../tables/table9.x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1.5"/>
    <col customWidth="1" min="6" max="6" width="16.88"/>
    <col customWidth="1" min="7" max="12" width="11.5"/>
    <col customWidth="1" min="13" max="13" width="13.13"/>
    <col customWidth="1" min="14" max="26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44927.0</v>
      </c>
      <c r="B2" s="4">
        <v>2023.0</v>
      </c>
      <c r="C2" s="4">
        <v>1.0</v>
      </c>
      <c r="D2" s="4">
        <v>52.0</v>
      </c>
      <c r="E2" s="4" t="s">
        <v>13</v>
      </c>
      <c r="F2" s="4" t="s">
        <v>14</v>
      </c>
      <c r="G2" s="4" t="s">
        <v>15</v>
      </c>
      <c r="H2" s="4">
        <v>410.0</v>
      </c>
      <c r="I2" s="4">
        <v>5325.9</v>
      </c>
      <c r="J2" s="4">
        <v>12.99</v>
      </c>
      <c r="K2" s="4" t="s">
        <v>16</v>
      </c>
      <c r="L2" s="4" t="s">
        <v>16</v>
      </c>
      <c r="M2" s="4" t="str">
        <f>TEXT(A2,"MMM")</f>
        <v>Jan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44927.0</v>
      </c>
      <c r="B3" s="4">
        <v>2023.0</v>
      </c>
      <c r="C3" s="4">
        <v>1.0</v>
      </c>
      <c r="D3" s="4">
        <v>52.0</v>
      </c>
      <c r="E3" s="4" t="s">
        <v>17</v>
      </c>
      <c r="F3" s="4" t="s">
        <v>18</v>
      </c>
      <c r="G3" s="4" t="s">
        <v>19</v>
      </c>
      <c r="H3" s="4">
        <v>266.0</v>
      </c>
      <c r="I3" s="4">
        <v>4120.34</v>
      </c>
      <c r="J3" s="4">
        <v>15.49</v>
      </c>
      <c r="K3" s="4" t="s">
        <v>16</v>
      </c>
      <c r="L3" s="4" t="s">
        <v>16</v>
      </c>
      <c r="M3" s="4" t="s">
        <v>20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44927.0</v>
      </c>
      <c r="B4" s="4">
        <v>2023.0</v>
      </c>
      <c r="C4" s="4">
        <v>1.0</v>
      </c>
      <c r="D4" s="4">
        <v>52.0</v>
      </c>
      <c r="E4" s="4" t="s">
        <v>21</v>
      </c>
      <c r="F4" s="4" t="s">
        <v>22</v>
      </c>
      <c r="G4" s="4" t="s">
        <v>23</v>
      </c>
      <c r="H4" s="4">
        <v>412.0</v>
      </c>
      <c r="I4" s="4">
        <v>1643.88</v>
      </c>
      <c r="J4" s="4">
        <v>3.99</v>
      </c>
      <c r="K4" s="4" t="s">
        <v>24</v>
      </c>
      <c r="L4" s="4" t="s">
        <v>16</v>
      </c>
      <c r="M4" s="4" t="s">
        <v>20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44927.0</v>
      </c>
      <c r="B5" s="4">
        <v>2023.0</v>
      </c>
      <c r="C5" s="4">
        <v>1.0</v>
      </c>
      <c r="D5" s="4">
        <v>52.0</v>
      </c>
      <c r="E5" s="4" t="s">
        <v>25</v>
      </c>
      <c r="F5" s="4" t="s">
        <v>26</v>
      </c>
      <c r="G5" s="4" t="s">
        <v>27</v>
      </c>
      <c r="H5" s="4">
        <v>180.0</v>
      </c>
      <c r="I5" s="4">
        <v>808.2</v>
      </c>
      <c r="J5" s="4">
        <v>4.49</v>
      </c>
      <c r="K5" s="4" t="s">
        <v>16</v>
      </c>
      <c r="L5" s="4" t="s">
        <v>16</v>
      </c>
      <c r="M5" s="4" t="s">
        <v>20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44927.0</v>
      </c>
      <c r="B6" s="4">
        <v>2023.0</v>
      </c>
      <c r="C6" s="4">
        <v>1.0</v>
      </c>
      <c r="D6" s="4">
        <v>52.0</v>
      </c>
      <c r="E6" s="4" t="s">
        <v>28</v>
      </c>
      <c r="F6" s="4" t="s">
        <v>29</v>
      </c>
      <c r="G6" s="4" t="s">
        <v>19</v>
      </c>
      <c r="H6" s="4">
        <v>189.0</v>
      </c>
      <c r="I6" s="4">
        <v>1699.11</v>
      </c>
      <c r="J6" s="4">
        <v>8.99</v>
      </c>
      <c r="K6" s="4" t="s">
        <v>16</v>
      </c>
      <c r="L6" s="4" t="s">
        <v>16</v>
      </c>
      <c r="M6" s="4" t="s">
        <v>20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45139.0</v>
      </c>
      <c r="B7" s="4">
        <v>2023.0</v>
      </c>
      <c r="C7" s="4">
        <v>1.0</v>
      </c>
      <c r="D7" s="4">
        <v>1.0</v>
      </c>
      <c r="E7" s="4" t="s">
        <v>13</v>
      </c>
      <c r="F7" s="4" t="s">
        <v>14</v>
      </c>
      <c r="G7" s="4" t="s">
        <v>15</v>
      </c>
      <c r="H7" s="4">
        <v>356.0</v>
      </c>
      <c r="I7" s="4">
        <v>4624.44</v>
      </c>
      <c r="J7" s="4">
        <v>12.99</v>
      </c>
      <c r="K7" s="4" t="s">
        <v>16</v>
      </c>
      <c r="L7" s="4" t="s">
        <v>16</v>
      </c>
      <c r="M7" s="4" t="s">
        <v>20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45139.0</v>
      </c>
      <c r="B8" s="4">
        <v>2023.0</v>
      </c>
      <c r="C8" s="4">
        <v>1.0</v>
      </c>
      <c r="D8" s="4">
        <v>1.0</v>
      </c>
      <c r="E8" s="4" t="s">
        <v>17</v>
      </c>
      <c r="F8" s="4" t="s">
        <v>18</v>
      </c>
      <c r="G8" s="4" t="s">
        <v>19</v>
      </c>
      <c r="H8" s="4">
        <v>230.0</v>
      </c>
      <c r="I8" s="4">
        <v>3562.7</v>
      </c>
      <c r="J8" s="4">
        <v>15.49</v>
      </c>
      <c r="K8" s="4" t="s">
        <v>16</v>
      </c>
      <c r="L8" s="4" t="s">
        <v>16</v>
      </c>
      <c r="M8" s="4" t="s">
        <v>20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45139.0</v>
      </c>
      <c r="B9" s="4">
        <v>2023.0</v>
      </c>
      <c r="C9" s="4">
        <v>1.0</v>
      </c>
      <c r="D9" s="4">
        <v>1.0</v>
      </c>
      <c r="E9" s="4" t="s">
        <v>21</v>
      </c>
      <c r="F9" s="4" t="s">
        <v>22</v>
      </c>
      <c r="G9" s="4" t="s">
        <v>23</v>
      </c>
      <c r="H9" s="4">
        <v>249.0</v>
      </c>
      <c r="I9" s="4">
        <v>993.51</v>
      </c>
      <c r="J9" s="4">
        <v>3.99</v>
      </c>
      <c r="K9" s="4" t="s">
        <v>16</v>
      </c>
      <c r="L9" s="4" t="s">
        <v>16</v>
      </c>
      <c r="M9" s="4" t="s">
        <v>20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45139.0</v>
      </c>
      <c r="B10" s="4">
        <v>2023.0</v>
      </c>
      <c r="C10" s="4">
        <v>1.0</v>
      </c>
      <c r="D10" s="4">
        <v>1.0</v>
      </c>
      <c r="E10" s="4" t="s">
        <v>25</v>
      </c>
      <c r="F10" s="4" t="s">
        <v>26</v>
      </c>
      <c r="G10" s="4" t="s">
        <v>27</v>
      </c>
      <c r="H10" s="4">
        <v>48.0</v>
      </c>
      <c r="I10" s="4">
        <v>215.52</v>
      </c>
      <c r="J10" s="4">
        <v>4.49</v>
      </c>
      <c r="K10" s="4" t="s">
        <v>16</v>
      </c>
      <c r="L10" s="4" t="s">
        <v>24</v>
      </c>
      <c r="M10" s="4" t="s">
        <v>20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45139.0</v>
      </c>
      <c r="B11" s="4">
        <v>2023.0</v>
      </c>
      <c r="C11" s="4">
        <v>1.0</v>
      </c>
      <c r="D11" s="4">
        <v>1.0</v>
      </c>
      <c r="E11" s="4" t="s">
        <v>28</v>
      </c>
      <c r="F11" s="4" t="s">
        <v>29</v>
      </c>
      <c r="G11" s="4" t="s">
        <v>19</v>
      </c>
      <c r="H11" s="4">
        <v>160.0</v>
      </c>
      <c r="I11" s="4">
        <v>1438.4</v>
      </c>
      <c r="J11" s="4">
        <v>8.99</v>
      </c>
      <c r="K11" s="4" t="s">
        <v>16</v>
      </c>
      <c r="L11" s="4" t="s">
        <v>16</v>
      </c>
      <c r="M11" s="4" t="s">
        <v>20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30</v>
      </c>
      <c r="B12" s="4">
        <v>2023.0</v>
      </c>
      <c r="C12" s="4">
        <v>1.0</v>
      </c>
      <c r="D12" s="4">
        <v>2.0</v>
      </c>
      <c r="E12" s="4" t="s">
        <v>13</v>
      </c>
      <c r="F12" s="4" t="s">
        <v>14</v>
      </c>
      <c r="G12" s="4" t="s">
        <v>15</v>
      </c>
      <c r="H12" s="4">
        <v>348.0</v>
      </c>
      <c r="I12" s="4">
        <v>4520.52</v>
      </c>
      <c r="J12" s="4">
        <v>12.99</v>
      </c>
      <c r="K12" s="4" t="s">
        <v>16</v>
      </c>
      <c r="L12" s="4" t="s">
        <v>16</v>
      </c>
      <c r="M12" s="4" t="s">
        <v>20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30</v>
      </c>
      <c r="B13" s="4">
        <v>2023.0</v>
      </c>
      <c r="C13" s="4">
        <v>1.0</v>
      </c>
      <c r="D13" s="4">
        <v>2.0</v>
      </c>
      <c r="E13" s="4" t="s">
        <v>17</v>
      </c>
      <c r="F13" s="4" t="s">
        <v>18</v>
      </c>
      <c r="G13" s="4" t="s">
        <v>19</v>
      </c>
      <c r="H13" s="4">
        <v>364.0</v>
      </c>
      <c r="I13" s="4">
        <v>5638.36</v>
      </c>
      <c r="J13" s="4">
        <v>15.49</v>
      </c>
      <c r="K13" s="4" t="s">
        <v>24</v>
      </c>
      <c r="L13" s="4" t="s">
        <v>16</v>
      </c>
      <c r="M13" s="4" t="s">
        <v>20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30</v>
      </c>
      <c r="B14" s="4">
        <v>2023.0</v>
      </c>
      <c r="C14" s="4">
        <v>1.0</v>
      </c>
      <c r="D14" s="4">
        <v>2.0</v>
      </c>
      <c r="E14" s="4" t="s">
        <v>21</v>
      </c>
      <c r="F14" s="4" t="s">
        <v>22</v>
      </c>
      <c r="G14" s="4" t="s">
        <v>23</v>
      </c>
      <c r="H14" s="4">
        <v>267.0</v>
      </c>
      <c r="I14" s="4">
        <v>1065.33</v>
      </c>
      <c r="J14" s="4">
        <v>3.99</v>
      </c>
      <c r="K14" s="4" t="s">
        <v>16</v>
      </c>
      <c r="L14" s="4" t="s">
        <v>16</v>
      </c>
      <c r="M14" s="4" t="s">
        <v>20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30</v>
      </c>
      <c r="B15" s="4">
        <v>2023.0</v>
      </c>
      <c r="C15" s="4">
        <v>1.0</v>
      </c>
      <c r="D15" s="4">
        <v>2.0</v>
      </c>
      <c r="E15" s="4" t="s">
        <v>25</v>
      </c>
      <c r="F15" s="4" t="s">
        <v>26</v>
      </c>
      <c r="G15" s="4" t="s">
        <v>27</v>
      </c>
      <c r="H15" s="4">
        <v>132.0</v>
      </c>
      <c r="I15" s="4">
        <v>592.68</v>
      </c>
      <c r="J15" s="4">
        <v>4.49</v>
      </c>
      <c r="K15" s="4" t="s">
        <v>16</v>
      </c>
      <c r="L15" s="4" t="s">
        <v>16</v>
      </c>
      <c r="M15" s="4" t="s">
        <v>20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30</v>
      </c>
      <c r="B16" s="4">
        <v>2023.0</v>
      </c>
      <c r="C16" s="4">
        <v>1.0</v>
      </c>
      <c r="D16" s="4">
        <v>2.0</v>
      </c>
      <c r="E16" s="4" t="s">
        <v>28</v>
      </c>
      <c r="F16" s="4" t="s">
        <v>29</v>
      </c>
      <c r="G16" s="4" t="s">
        <v>19</v>
      </c>
      <c r="H16" s="4">
        <v>317.0</v>
      </c>
      <c r="I16" s="4">
        <v>2849.83</v>
      </c>
      <c r="J16" s="4">
        <v>8.99</v>
      </c>
      <c r="K16" s="4" t="s">
        <v>24</v>
      </c>
      <c r="L16" s="4" t="s">
        <v>16</v>
      </c>
      <c r="M16" s="4" t="s">
        <v>20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31</v>
      </c>
      <c r="B17" s="4">
        <v>2023.0</v>
      </c>
      <c r="C17" s="4">
        <v>1.0</v>
      </c>
      <c r="D17" s="4">
        <v>3.0</v>
      </c>
      <c r="E17" s="4" t="s">
        <v>13</v>
      </c>
      <c r="F17" s="4" t="s">
        <v>14</v>
      </c>
      <c r="G17" s="4" t="s">
        <v>15</v>
      </c>
      <c r="H17" s="4">
        <v>550.0</v>
      </c>
      <c r="I17" s="4">
        <v>7144.5</v>
      </c>
      <c r="J17" s="4">
        <v>12.99</v>
      </c>
      <c r="K17" s="4" t="s">
        <v>24</v>
      </c>
      <c r="L17" s="4" t="s">
        <v>16</v>
      </c>
      <c r="M17" s="4" t="s">
        <v>20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31</v>
      </c>
      <c r="B18" s="4">
        <v>2023.0</v>
      </c>
      <c r="C18" s="4">
        <v>1.0</v>
      </c>
      <c r="D18" s="4">
        <v>3.0</v>
      </c>
      <c r="E18" s="4" t="s">
        <v>17</v>
      </c>
      <c r="F18" s="4" t="s">
        <v>18</v>
      </c>
      <c r="G18" s="4" t="s">
        <v>19</v>
      </c>
      <c r="H18" s="4">
        <v>212.0</v>
      </c>
      <c r="I18" s="4">
        <v>3283.88</v>
      </c>
      <c r="J18" s="4">
        <v>15.49</v>
      </c>
      <c r="K18" s="4" t="s">
        <v>16</v>
      </c>
      <c r="L18" s="4" t="s">
        <v>16</v>
      </c>
      <c r="M18" s="4" t="s">
        <v>20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31</v>
      </c>
      <c r="B19" s="4">
        <v>2023.0</v>
      </c>
      <c r="C19" s="4">
        <v>1.0</v>
      </c>
      <c r="D19" s="4">
        <v>3.0</v>
      </c>
      <c r="E19" s="4" t="s">
        <v>21</v>
      </c>
      <c r="F19" s="4" t="s">
        <v>22</v>
      </c>
      <c r="G19" s="4" t="s">
        <v>23</v>
      </c>
      <c r="H19" s="4">
        <v>212.0</v>
      </c>
      <c r="I19" s="4">
        <v>845.88</v>
      </c>
      <c r="J19" s="4">
        <v>3.99</v>
      </c>
      <c r="K19" s="4" t="s">
        <v>16</v>
      </c>
      <c r="L19" s="4" t="s">
        <v>16</v>
      </c>
      <c r="M19" s="4" t="s">
        <v>20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31</v>
      </c>
      <c r="B20" s="4">
        <v>2023.0</v>
      </c>
      <c r="C20" s="4">
        <v>1.0</v>
      </c>
      <c r="D20" s="4">
        <v>3.0</v>
      </c>
      <c r="E20" s="4" t="s">
        <v>25</v>
      </c>
      <c r="F20" s="4" t="s">
        <v>26</v>
      </c>
      <c r="G20" s="4" t="s">
        <v>27</v>
      </c>
      <c r="H20" s="4">
        <v>237.0</v>
      </c>
      <c r="I20" s="4">
        <v>1064.13</v>
      </c>
      <c r="J20" s="4">
        <v>4.49</v>
      </c>
      <c r="K20" s="4" t="s">
        <v>24</v>
      </c>
      <c r="L20" s="4" t="s">
        <v>16</v>
      </c>
      <c r="M20" s="4" t="s">
        <v>20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31</v>
      </c>
      <c r="B21" s="4">
        <v>2023.0</v>
      </c>
      <c r="C21" s="4">
        <v>1.0</v>
      </c>
      <c r="D21" s="4">
        <v>3.0</v>
      </c>
      <c r="E21" s="4" t="s">
        <v>28</v>
      </c>
      <c r="F21" s="4" t="s">
        <v>29</v>
      </c>
      <c r="G21" s="4" t="s">
        <v>19</v>
      </c>
      <c r="H21" s="4">
        <v>192.0</v>
      </c>
      <c r="I21" s="4">
        <v>1726.08</v>
      </c>
      <c r="J21" s="4">
        <v>8.99</v>
      </c>
      <c r="K21" s="4" t="s">
        <v>16</v>
      </c>
      <c r="L21" s="4" t="s">
        <v>16</v>
      </c>
      <c r="M21" s="4" t="s">
        <v>20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32</v>
      </c>
      <c r="B22" s="4">
        <v>2023.0</v>
      </c>
      <c r="C22" s="4">
        <v>1.0</v>
      </c>
      <c r="D22" s="4">
        <v>4.0</v>
      </c>
      <c r="E22" s="4" t="s">
        <v>13</v>
      </c>
      <c r="F22" s="4" t="s">
        <v>14</v>
      </c>
      <c r="G22" s="4" t="s">
        <v>15</v>
      </c>
      <c r="H22" s="4">
        <v>443.0</v>
      </c>
      <c r="I22" s="4">
        <v>5754.57</v>
      </c>
      <c r="J22" s="4">
        <v>12.99</v>
      </c>
      <c r="K22" s="4" t="s">
        <v>16</v>
      </c>
      <c r="L22" s="4" t="s">
        <v>16</v>
      </c>
      <c r="M22" s="4" t="s">
        <v>20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32</v>
      </c>
      <c r="B23" s="4">
        <v>2023.0</v>
      </c>
      <c r="C23" s="4">
        <v>1.0</v>
      </c>
      <c r="D23" s="4">
        <v>4.0</v>
      </c>
      <c r="E23" s="4" t="s">
        <v>17</v>
      </c>
      <c r="F23" s="4" t="s">
        <v>18</v>
      </c>
      <c r="G23" s="4" t="s">
        <v>19</v>
      </c>
      <c r="H23" s="4">
        <v>311.0</v>
      </c>
      <c r="I23" s="4">
        <v>4817.39</v>
      </c>
      <c r="J23" s="4">
        <v>15.49</v>
      </c>
      <c r="K23" s="4" t="s">
        <v>16</v>
      </c>
      <c r="L23" s="4" t="s">
        <v>16</v>
      </c>
      <c r="M23" s="4" t="s">
        <v>20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32</v>
      </c>
      <c r="B24" s="4">
        <v>2023.0</v>
      </c>
      <c r="C24" s="4">
        <v>1.0</v>
      </c>
      <c r="D24" s="4">
        <v>4.0</v>
      </c>
      <c r="E24" s="4" t="s">
        <v>21</v>
      </c>
      <c r="F24" s="4" t="s">
        <v>22</v>
      </c>
      <c r="G24" s="4" t="s">
        <v>23</v>
      </c>
      <c r="H24" s="4">
        <v>250.0</v>
      </c>
      <c r="I24" s="4">
        <v>997.5</v>
      </c>
      <c r="J24" s="4">
        <v>3.99</v>
      </c>
      <c r="K24" s="4" t="s">
        <v>16</v>
      </c>
      <c r="L24" s="4" t="s">
        <v>16</v>
      </c>
      <c r="M24" s="4" t="s">
        <v>20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32</v>
      </c>
      <c r="B25" s="4">
        <v>2023.0</v>
      </c>
      <c r="C25" s="4">
        <v>1.0</v>
      </c>
      <c r="D25" s="4">
        <v>4.0</v>
      </c>
      <c r="E25" s="4" t="s">
        <v>25</v>
      </c>
      <c r="F25" s="4" t="s">
        <v>26</v>
      </c>
      <c r="G25" s="4" t="s">
        <v>27</v>
      </c>
      <c r="H25" s="4">
        <v>185.0</v>
      </c>
      <c r="I25" s="4">
        <v>830.65</v>
      </c>
      <c r="J25" s="4">
        <v>4.49</v>
      </c>
      <c r="K25" s="4" t="s">
        <v>16</v>
      </c>
      <c r="L25" s="4" t="s">
        <v>16</v>
      </c>
      <c r="M25" s="4" t="s">
        <v>20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32</v>
      </c>
      <c r="B26" s="4">
        <v>2023.0</v>
      </c>
      <c r="C26" s="4">
        <v>1.0</v>
      </c>
      <c r="D26" s="4">
        <v>4.0</v>
      </c>
      <c r="E26" s="4" t="s">
        <v>28</v>
      </c>
      <c r="F26" s="4" t="s">
        <v>29</v>
      </c>
      <c r="G26" s="4" t="s">
        <v>19</v>
      </c>
      <c r="H26" s="4">
        <v>229.0</v>
      </c>
      <c r="I26" s="4">
        <v>2058.71</v>
      </c>
      <c r="J26" s="4">
        <v>8.99</v>
      </c>
      <c r="K26" s="4" t="s">
        <v>16</v>
      </c>
      <c r="L26" s="4" t="s">
        <v>16</v>
      </c>
      <c r="M26" s="4" t="s">
        <v>20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>
        <v>45048.0</v>
      </c>
      <c r="B27" s="4">
        <v>2023.0</v>
      </c>
      <c r="C27" s="4">
        <v>2.0</v>
      </c>
      <c r="D27" s="4">
        <v>5.0</v>
      </c>
      <c r="E27" s="4" t="s">
        <v>13</v>
      </c>
      <c r="F27" s="4" t="s">
        <v>14</v>
      </c>
      <c r="G27" s="4" t="s">
        <v>15</v>
      </c>
      <c r="H27" s="4">
        <v>761.0</v>
      </c>
      <c r="I27" s="4">
        <v>9885.39</v>
      </c>
      <c r="J27" s="4">
        <v>12.99</v>
      </c>
      <c r="K27" s="4" t="s">
        <v>24</v>
      </c>
      <c r="L27" s="4" t="s">
        <v>16</v>
      </c>
      <c r="M27" s="4" t="s">
        <v>33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>
        <v>45048.0</v>
      </c>
      <c r="B28" s="4">
        <v>2023.0</v>
      </c>
      <c r="C28" s="4">
        <v>2.0</v>
      </c>
      <c r="D28" s="4">
        <v>5.0</v>
      </c>
      <c r="E28" s="4" t="s">
        <v>17</v>
      </c>
      <c r="F28" s="4" t="s">
        <v>18</v>
      </c>
      <c r="G28" s="4" t="s">
        <v>19</v>
      </c>
      <c r="H28" s="4">
        <v>339.0</v>
      </c>
      <c r="I28" s="4">
        <v>5251.11</v>
      </c>
      <c r="J28" s="4">
        <v>15.49</v>
      </c>
      <c r="K28" s="4" t="s">
        <v>16</v>
      </c>
      <c r="L28" s="4" t="s">
        <v>16</v>
      </c>
      <c r="M28" s="4" t="s">
        <v>33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>
        <v>45048.0</v>
      </c>
      <c r="B29" s="4">
        <v>2023.0</v>
      </c>
      <c r="C29" s="4">
        <v>2.0</v>
      </c>
      <c r="D29" s="4">
        <v>5.0</v>
      </c>
      <c r="E29" s="4" t="s">
        <v>21</v>
      </c>
      <c r="F29" s="4" t="s">
        <v>22</v>
      </c>
      <c r="G29" s="4" t="s">
        <v>23</v>
      </c>
      <c r="H29" s="4">
        <v>346.0</v>
      </c>
      <c r="I29" s="4">
        <v>1380.54</v>
      </c>
      <c r="J29" s="4">
        <v>3.99</v>
      </c>
      <c r="K29" s="4" t="s">
        <v>16</v>
      </c>
      <c r="L29" s="4" t="s">
        <v>16</v>
      </c>
      <c r="M29" s="4" t="s">
        <v>33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>
        <v>45048.0</v>
      </c>
      <c r="B30" s="4">
        <v>2023.0</v>
      </c>
      <c r="C30" s="4">
        <v>2.0</v>
      </c>
      <c r="D30" s="4">
        <v>5.0</v>
      </c>
      <c r="E30" s="4" t="s">
        <v>25</v>
      </c>
      <c r="F30" s="4" t="s">
        <v>26</v>
      </c>
      <c r="G30" s="4" t="s">
        <v>27</v>
      </c>
      <c r="H30" s="4">
        <v>193.0</v>
      </c>
      <c r="I30" s="4">
        <v>866.57</v>
      </c>
      <c r="J30" s="4">
        <v>4.49</v>
      </c>
      <c r="K30" s="4" t="s">
        <v>16</v>
      </c>
      <c r="L30" s="4" t="s">
        <v>16</v>
      </c>
      <c r="M30" s="4" t="s">
        <v>33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>
        <v>45048.0</v>
      </c>
      <c r="B31" s="4">
        <v>2023.0</v>
      </c>
      <c r="C31" s="4">
        <v>2.0</v>
      </c>
      <c r="D31" s="4">
        <v>5.0</v>
      </c>
      <c r="E31" s="4" t="s">
        <v>28</v>
      </c>
      <c r="F31" s="4" t="s">
        <v>29</v>
      </c>
      <c r="G31" s="4" t="s">
        <v>19</v>
      </c>
      <c r="H31" s="4">
        <v>230.0</v>
      </c>
      <c r="I31" s="4">
        <v>2067.7</v>
      </c>
      <c r="J31" s="4">
        <v>8.99</v>
      </c>
      <c r="K31" s="4" t="s">
        <v>16</v>
      </c>
      <c r="L31" s="4" t="s">
        <v>16</v>
      </c>
      <c r="M31" s="4" t="s">
        <v>33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>
        <v>45262.0</v>
      </c>
      <c r="B32" s="4">
        <v>2023.0</v>
      </c>
      <c r="C32" s="4">
        <v>2.0</v>
      </c>
      <c r="D32" s="4">
        <v>6.0</v>
      </c>
      <c r="E32" s="4" t="s">
        <v>13</v>
      </c>
      <c r="F32" s="4" t="s">
        <v>14</v>
      </c>
      <c r="G32" s="4" t="s">
        <v>15</v>
      </c>
      <c r="H32" s="4">
        <v>553.0</v>
      </c>
      <c r="I32" s="4">
        <v>7183.47</v>
      </c>
      <c r="J32" s="4">
        <v>12.99</v>
      </c>
      <c r="K32" s="4" t="s">
        <v>16</v>
      </c>
      <c r="L32" s="4" t="s">
        <v>16</v>
      </c>
      <c r="M32" s="4" t="s">
        <v>33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>
        <v>45262.0</v>
      </c>
      <c r="B33" s="4">
        <v>2023.0</v>
      </c>
      <c r="C33" s="4">
        <v>2.0</v>
      </c>
      <c r="D33" s="4">
        <v>6.0</v>
      </c>
      <c r="E33" s="4" t="s">
        <v>17</v>
      </c>
      <c r="F33" s="4" t="s">
        <v>18</v>
      </c>
      <c r="G33" s="4" t="s">
        <v>19</v>
      </c>
      <c r="H33" s="4">
        <v>296.0</v>
      </c>
      <c r="I33" s="4">
        <v>4585.04</v>
      </c>
      <c r="J33" s="4">
        <v>15.49</v>
      </c>
      <c r="K33" s="4" t="s">
        <v>16</v>
      </c>
      <c r="L33" s="4" t="s">
        <v>16</v>
      </c>
      <c r="M33" s="4" t="s">
        <v>33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>
        <v>45262.0</v>
      </c>
      <c r="B34" s="4">
        <v>2023.0</v>
      </c>
      <c r="C34" s="4">
        <v>2.0</v>
      </c>
      <c r="D34" s="4">
        <v>6.0</v>
      </c>
      <c r="E34" s="4" t="s">
        <v>21</v>
      </c>
      <c r="F34" s="4" t="s">
        <v>22</v>
      </c>
      <c r="G34" s="4" t="s">
        <v>23</v>
      </c>
      <c r="H34" s="4">
        <v>320.0</v>
      </c>
      <c r="I34" s="4">
        <v>1276.8</v>
      </c>
      <c r="J34" s="4">
        <v>3.99</v>
      </c>
      <c r="K34" s="4" t="s">
        <v>16</v>
      </c>
      <c r="L34" s="4" t="s">
        <v>16</v>
      </c>
      <c r="M34" s="4" t="s">
        <v>33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>
        <v>45262.0</v>
      </c>
      <c r="B35" s="4">
        <v>2023.0</v>
      </c>
      <c r="C35" s="4">
        <v>2.0</v>
      </c>
      <c r="D35" s="4">
        <v>6.0</v>
      </c>
      <c r="E35" s="4" t="s">
        <v>25</v>
      </c>
      <c r="F35" s="4" t="s">
        <v>26</v>
      </c>
      <c r="G35" s="4" t="s">
        <v>27</v>
      </c>
      <c r="H35" s="4">
        <v>200.0</v>
      </c>
      <c r="I35" s="4">
        <v>898.0</v>
      </c>
      <c r="J35" s="4">
        <v>4.49</v>
      </c>
      <c r="K35" s="4" t="s">
        <v>16</v>
      </c>
      <c r="L35" s="4" t="s">
        <v>16</v>
      </c>
      <c r="M35" s="4" t="s">
        <v>33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>
        <v>45262.0</v>
      </c>
      <c r="B36" s="4">
        <v>2023.0</v>
      </c>
      <c r="C36" s="4">
        <v>2.0</v>
      </c>
      <c r="D36" s="4">
        <v>6.0</v>
      </c>
      <c r="E36" s="4" t="s">
        <v>28</v>
      </c>
      <c r="F36" s="4" t="s">
        <v>29</v>
      </c>
      <c r="G36" s="4" t="s">
        <v>19</v>
      </c>
      <c r="H36" s="4">
        <v>216.0</v>
      </c>
      <c r="I36" s="4">
        <v>1941.84</v>
      </c>
      <c r="J36" s="4">
        <v>8.99</v>
      </c>
      <c r="K36" s="4" t="s">
        <v>16</v>
      </c>
      <c r="L36" s="4" t="s">
        <v>16</v>
      </c>
      <c r="M36" s="4" t="s">
        <v>33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34</v>
      </c>
      <c r="B37" s="4">
        <v>2023.0</v>
      </c>
      <c r="C37" s="4">
        <v>2.0</v>
      </c>
      <c r="D37" s="4">
        <v>7.0</v>
      </c>
      <c r="E37" s="4" t="s">
        <v>13</v>
      </c>
      <c r="F37" s="4" t="s">
        <v>14</v>
      </c>
      <c r="G37" s="4" t="s">
        <v>15</v>
      </c>
      <c r="H37" s="4">
        <v>430.0</v>
      </c>
      <c r="I37" s="4">
        <v>5585.7</v>
      </c>
      <c r="J37" s="4">
        <v>12.99</v>
      </c>
      <c r="K37" s="4" t="s">
        <v>16</v>
      </c>
      <c r="L37" s="4" t="s">
        <v>16</v>
      </c>
      <c r="M37" s="4" t="s">
        <v>33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34</v>
      </c>
      <c r="B38" s="4">
        <v>2023.0</v>
      </c>
      <c r="C38" s="4">
        <v>2.0</v>
      </c>
      <c r="D38" s="4">
        <v>7.0</v>
      </c>
      <c r="E38" s="4" t="s">
        <v>17</v>
      </c>
      <c r="F38" s="4" t="s">
        <v>18</v>
      </c>
      <c r="G38" s="4" t="s">
        <v>19</v>
      </c>
      <c r="H38" s="4">
        <v>322.0</v>
      </c>
      <c r="I38" s="4">
        <v>4987.78</v>
      </c>
      <c r="J38" s="4">
        <v>15.49</v>
      </c>
      <c r="K38" s="4" t="s">
        <v>16</v>
      </c>
      <c r="L38" s="4" t="s">
        <v>16</v>
      </c>
      <c r="M38" s="4" t="s">
        <v>33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34</v>
      </c>
      <c r="B39" s="4">
        <v>2023.0</v>
      </c>
      <c r="C39" s="4">
        <v>2.0</v>
      </c>
      <c r="D39" s="4">
        <v>7.0</v>
      </c>
      <c r="E39" s="4" t="s">
        <v>21</v>
      </c>
      <c r="F39" s="4" t="s">
        <v>22</v>
      </c>
      <c r="G39" s="4" t="s">
        <v>23</v>
      </c>
      <c r="H39" s="4">
        <v>380.0</v>
      </c>
      <c r="I39" s="4">
        <v>1516.2</v>
      </c>
      <c r="J39" s="4">
        <v>3.99</v>
      </c>
      <c r="K39" s="4" t="s">
        <v>24</v>
      </c>
      <c r="L39" s="4" t="s">
        <v>16</v>
      </c>
      <c r="M39" s="4" t="s">
        <v>33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34</v>
      </c>
      <c r="B40" s="4">
        <v>2023.0</v>
      </c>
      <c r="C40" s="4">
        <v>2.0</v>
      </c>
      <c r="D40" s="4">
        <v>7.0</v>
      </c>
      <c r="E40" s="4" t="s">
        <v>25</v>
      </c>
      <c r="F40" s="4" t="s">
        <v>26</v>
      </c>
      <c r="G40" s="4" t="s">
        <v>27</v>
      </c>
      <c r="H40" s="4">
        <v>186.0</v>
      </c>
      <c r="I40" s="4">
        <v>835.14</v>
      </c>
      <c r="J40" s="4">
        <v>4.49</v>
      </c>
      <c r="K40" s="4" t="s">
        <v>16</v>
      </c>
      <c r="L40" s="4" t="s">
        <v>16</v>
      </c>
      <c r="M40" s="4" t="s">
        <v>33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34</v>
      </c>
      <c r="B41" s="4">
        <v>2023.0</v>
      </c>
      <c r="C41" s="4">
        <v>2.0</v>
      </c>
      <c r="D41" s="4">
        <v>7.0</v>
      </c>
      <c r="E41" s="4" t="s">
        <v>28</v>
      </c>
      <c r="F41" s="4" t="s">
        <v>29</v>
      </c>
      <c r="G41" s="4" t="s">
        <v>19</v>
      </c>
      <c r="H41" s="4">
        <v>256.0</v>
      </c>
      <c r="I41" s="4">
        <v>2301.44</v>
      </c>
      <c r="J41" s="4">
        <v>8.99</v>
      </c>
      <c r="K41" s="4" t="s">
        <v>16</v>
      </c>
      <c r="L41" s="4" t="s">
        <v>16</v>
      </c>
      <c r="M41" s="4" t="s">
        <v>33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35</v>
      </c>
      <c r="B42" s="4">
        <v>2023.0</v>
      </c>
      <c r="C42" s="4">
        <v>2.0</v>
      </c>
      <c r="D42" s="4">
        <v>8.0</v>
      </c>
      <c r="E42" s="4" t="s">
        <v>13</v>
      </c>
      <c r="F42" s="4" t="s">
        <v>14</v>
      </c>
      <c r="G42" s="4" t="s">
        <v>15</v>
      </c>
      <c r="H42" s="4">
        <v>96.0</v>
      </c>
      <c r="I42" s="4">
        <v>1247.04</v>
      </c>
      <c r="J42" s="4">
        <v>12.99</v>
      </c>
      <c r="K42" s="4" t="s">
        <v>16</v>
      </c>
      <c r="L42" s="4" t="s">
        <v>24</v>
      </c>
      <c r="M42" s="4" t="s">
        <v>33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35</v>
      </c>
      <c r="B43" s="4">
        <v>2023.0</v>
      </c>
      <c r="C43" s="4">
        <v>2.0</v>
      </c>
      <c r="D43" s="4">
        <v>8.0</v>
      </c>
      <c r="E43" s="4" t="s">
        <v>17</v>
      </c>
      <c r="F43" s="4" t="s">
        <v>18</v>
      </c>
      <c r="G43" s="4" t="s">
        <v>19</v>
      </c>
      <c r="H43" s="4">
        <v>321.0</v>
      </c>
      <c r="I43" s="4">
        <v>4972.29</v>
      </c>
      <c r="J43" s="4">
        <v>15.49</v>
      </c>
      <c r="K43" s="4" t="s">
        <v>16</v>
      </c>
      <c r="L43" s="4" t="s">
        <v>16</v>
      </c>
      <c r="M43" s="4" t="s">
        <v>33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 t="s">
        <v>35</v>
      </c>
      <c r="B44" s="4">
        <v>2023.0</v>
      </c>
      <c r="C44" s="4">
        <v>2.0</v>
      </c>
      <c r="D44" s="4">
        <v>8.0</v>
      </c>
      <c r="E44" s="4" t="s">
        <v>21</v>
      </c>
      <c r="F44" s="4" t="s">
        <v>22</v>
      </c>
      <c r="G44" s="4" t="s">
        <v>23</v>
      </c>
      <c r="H44" s="4">
        <v>383.0</v>
      </c>
      <c r="I44" s="4">
        <v>1528.17</v>
      </c>
      <c r="J44" s="4">
        <v>3.99</v>
      </c>
      <c r="K44" s="4" t="s">
        <v>24</v>
      </c>
      <c r="L44" s="4" t="s">
        <v>16</v>
      </c>
      <c r="M44" s="4" t="s">
        <v>33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35</v>
      </c>
      <c r="B45" s="4">
        <v>2023.0</v>
      </c>
      <c r="C45" s="4">
        <v>2.0</v>
      </c>
      <c r="D45" s="4">
        <v>8.0</v>
      </c>
      <c r="E45" s="4" t="s">
        <v>25</v>
      </c>
      <c r="F45" s="4" t="s">
        <v>26</v>
      </c>
      <c r="G45" s="4" t="s">
        <v>27</v>
      </c>
      <c r="H45" s="4">
        <v>200.0</v>
      </c>
      <c r="I45" s="4">
        <v>898.0</v>
      </c>
      <c r="J45" s="4">
        <v>4.49</v>
      </c>
      <c r="K45" s="4" t="s">
        <v>16</v>
      </c>
      <c r="L45" s="4" t="s">
        <v>16</v>
      </c>
      <c r="M45" s="4" t="s">
        <v>33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35</v>
      </c>
      <c r="B46" s="4">
        <v>2023.0</v>
      </c>
      <c r="C46" s="4">
        <v>2.0</v>
      </c>
      <c r="D46" s="4">
        <v>8.0</v>
      </c>
      <c r="E46" s="4" t="s">
        <v>28</v>
      </c>
      <c r="F46" s="4" t="s">
        <v>29</v>
      </c>
      <c r="G46" s="4" t="s">
        <v>19</v>
      </c>
      <c r="H46" s="4">
        <v>283.0</v>
      </c>
      <c r="I46" s="4">
        <v>2544.17</v>
      </c>
      <c r="J46" s="4">
        <v>8.99</v>
      </c>
      <c r="K46" s="4" t="s">
        <v>16</v>
      </c>
      <c r="L46" s="4" t="s">
        <v>16</v>
      </c>
      <c r="M46" s="4" t="s">
        <v>33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>
        <v>45049.0</v>
      </c>
      <c r="B47" s="4">
        <v>2023.0</v>
      </c>
      <c r="C47" s="4">
        <v>3.0</v>
      </c>
      <c r="D47" s="4">
        <v>9.0</v>
      </c>
      <c r="E47" s="4" t="s">
        <v>13</v>
      </c>
      <c r="F47" s="4" t="s">
        <v>14</v>
      </c>
      <c r="G47" s="4" t="s">
        <v>15</v>
      </c>
      <c r="H47" s="4">
        <v>505.0</v>
      </c>
      <c r="I47" s="4">
        <v>6559.95</v>
      </c>
      <c r="J47" s="4">
        <v>12.99</v>
      </c>
      <c r="K47" s="4" t="s">
        <v>16</v>
      </c>
      <c r="L47" s="4" t="s">
        <v>16</v>
      </c>
      <c r="M47" s="4" t="s">
        <v>36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>
        <v>45049.0</v>
      </c>
      <c r="B48" s="4">
        <v>2023.0</v>
      </c>
      <c r="C48" s="4">
        <v>3.0</v>
      </c>
      <c r="D48" s="4">
        <v>9.0</v>
      </c>
      <c r="E48" s="4" t="s">
        <v>17</v>
      </c>
      <c r="F48" s="4" t="s">
        <v>18</v>
      </c>
      <c r="G48" s="4" t="s">
        <v>19</v>
      </c>
      <c r="H48" s="4">
        <v>491.0</v>
      </c>
      <c r="I48" s="4">
        <v>7605.59</v>
      </c>
      <c r="J48" s="4">
        <v>15.49</v>
      </c>
      <c r="K48" s="4" t="s">
        <v>24</v>
      </c>
      <c r="L48" s="4" t="s">
        <v>16</v>
      </c>
      <c r="M48" s="4" t="s">
        <v>36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>
        <v>45049.0</v>
      </c>
      <c r="B49" s="4">
        <v>2023.0</v>
      </c>
      <c r="C49" s="4">
        <v>3.0</v>
      </c>
      <c r="D49" s="4">
        <v>9.0</v>
      </c>
      <c r="E49" s="4" t="s">
        <v>21</v>
      </c>
      <c r="F49" s="4" t="s">
        <v>22</v>
      </c>
      <c r="G49" s="4" t="s">
        <v>23</v>
      </c>
      <c r="H49" s="4">
        <v>375.0</v>
      </c>
      <c r="I49" s="4">
        <v>1496.25</v>
      </c>
      <c r="J49" s="4">
        <v>3.99</v>
      </c>
      <c r="K49" s="4" t="s">
        <v>16</v>
      </c>
      <c r="L49" s="4" t="s">
        <v>16</v>
      </c>
      <c r="M49" s="4" t="s">
        <v>36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>
        <v>45049.0</v>
      </c>
      <c r="B50" s="4">
        <v>2023.0</v>
      </c>
      <c r="C50" s="4">
        <v>3.0</v>
      </c>
      <c r="D50" s="4">
        <v>9.0</v>
      </c>
      <c r="E50" s="4" t="s">
        <v>25</v>
      </c>
      <c r="F50" s="4" t="s">
        <v>26</v>
      </c>
      <c r="G50" s="4" t="s">
        <v>27</v>
      </c>
      <c r="H50" s="4">
        <v>58.0</v>
      </c>
      <c r="I50" s="4">
        <v>260.42</v>
      </c>
      <c r="J50" s="4">
        <v>4.49</v>
      </c>
      <c r="K50" s="4" t="s">
        <v>16</v>
      </c>
      <c r="L50" s="4" t="s">
        <v>24</v>
      </c>
      <c r="M50" s="4" t="s">
        <v>36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>
        <v>45049.0</v>
      </c>
      <c r="B51" s="4">
        <v>2023.0</v>
      </c>
      <c r="C51" s="4">
        <v>3.0</v>
      </c>
      <c r="D51" s="4">
        <v>9.0</v>
      </c>
      <c r="E51" s="4" t="s">
        <v>28</v>
      </c>
      <c r="F51" s="4" t="s">
        <v>29</v>
      </c>
      <c r="G51" s="4" t="s">
        <v>19</v>
      </c>
      <c r="H51" s="4">
        <v>223.0</v>
      </c>
      <c r="I51" s="4">
        <v>2004.77</v>
      </c>
      <c r="J51" s="4">
        <v>8.99</v>
      </c>
      <c r="K51" s="4" t="s">
        <v>16</v>
      </c>
      <c r="L51" s="4" t="s">
        <v>16</v>
      </c>
      <c r="M51" s="4" t="s">
        <v>36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>
        <v>45263.0</v>
      </c>
      <c r="B52" s="4">
        <v>2023.0</v>
      </c>
      <c r="C52" s="4">
        <v>3.0</v>
      </c>
      <c r="D52" s="4">
        <v>10.0</v>
      </c>
      <c r="E52" s="4" t="s">
        <v>13</v>
      </c>
      <c r="F52" s="4" t="s">
        <v>14</v>
      </c>
      <c r="G52" s="4" t="s">
        <v>15</v>
      </c>
      <c r="H52" s="4">
        <v>382.0</v>
      </c>
      <c r="I52" s="4">
        <v>4962.18</v>
      </c>
      <c r="J52" s="4">
        <v>12.99</v>
      </c>
      <c r="K52" s="4" t="s">
        <v>16</v>
      </c>
      <c r="L52" s="4" t="s">
        <v>16</v>
      </c>
      <c r="M52" s="4" t="s">
        <v>36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>
        <v>45263.0</v>
      </c>
      <c r="B53" s="4">
        <v>2023.0</v>
      </c>
      <c r="C53" s="4">
        <v>3.0</v>
      </c>
      <c r="D53" s="4">
        <v>10.0</v>
      </c>
      <c r="E53" s="4" t="s">
        <v>17</v>
      </c>
      <c r="F53" s="4" t="s">
        <v>18</v>
      </c>
      <c r="G53" s="4" t="s">
        <v>19</v>
      </c>
      <c r="H53" s="4">
        <v>346.0</v>
      </c>
      <c r="I53" s="4">
        <v>5359.54</v>
      </c>
      <c r="J53" s="4">
        <v>15.49</v>
      </c>
      <c r="K53" s="4" t="s">
        <v>16</v>
      </c>
      <c r="L53" s="4" t="s">
        <v>16</v>
      </c>
      <c r="M53" s="4" t="s">
        <v>36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>
        <v>45263.0</v>
      </c>
      <c r="B54" s="4">
        <v>2023.0</v>
      </c>
      <c r="C54" s="4">
        <v>3.0</v>
      </c>
      <c r="D54" s="4">
        <v>10.0</v>
      </c>
      <c r="E54" s="4" t="s">
        <v>21</v>
      </c>
      <c r="F54" s="4" t="s">
        <v>22</v>
      </c>
      <c r="G54" s="4" t="s">
        <v>23</v>
      </c>
      <c r="H54" s="4">
        <v>249.0</v>
      </c>
      <c r="I54" s="4">
        <v>993.51</v>
      </c>
      <c r="J54" s="4">
        <v>3.99</v>
      </c>
      <c r="K54" s="4" t="s">
        <v>16</v>
      </c>
      <c r="L54" s="4" t="s">
        <v>16</v>
      </c>
      <c r="M54" s="4" t="s">
        <v>36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">
        <v>45263.0</v>
      </c>
      <c r="B55" s="4">
        <v>2023.0</v>
      </c>
      <c r="C55" s="4">
        <v>3.0</v>
      </c>
      <c r="D55" s="4">
        <v>10.0</v>
      </c>
      <c r="E55" s="4" t="s">
        <v>25</v>
      </c>
      <c r="F55" s="4" t="s">
        <v>26</v>
      </c>
      <c r="G55" s="4" t="s">
        <v>27</v>
      </c>
      <c r="H55" s="4">
        <v>182.0</v>
      </c>
      <c r="I55" s="4">
        <v>817.18</v>
      </c>
      <c r="J55" s="4">
        <v>4.49</v>
      </c>
      <c r="K55" s="4" t="s">
        <v>16</v>
      </c>
      <c r="L55" s="4" t="s">
        <v>16</v>
      </c>
      <c r="M55" s="4" t="s">
        <v>36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>
        <v>45263.0</v>
      </c>
      <c r="B56" s="4">
        <v>2023.0</v>
      </c>
      <c r="C56" s="4">
        <v>3.0</v>
      </c>
      <c r="D56" s="4">
        <v>10.0</v>
      </c>
      <c r="E56" s="4" t="s">
        <v>28</v>
      </c>
      <c r="F56" s="4" t="s">
        <v>29</v>
      </c>
      <c r="G56" s="4" t="s">
        <v>19</v>
      </c>
      <c r="H56" s="4">
        <v>250.0</v>
      </c>
      <c r="I56" s="4">
        <v>2247.5</v>
      </c>
      <c r="J56" s="4">
        <v>8.99</v>
      </c>
      <c r="K56" s="4" t="s">
        <v>16</v>
      </c>
      <c r="L56" s="4" t="s">
        <v>16</v>
      </c>
      <c r="M56" s="4" t="s">
        <v>36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37</v>
      </c>
      <c r="B57" s="4">
        <v>2023.0</v>
      </c>
      <c r="C57" s="4">
        <v>3.0</v>
      </c>
      <c r="D57" s="4">
        <v>11.0</v>
      </c>
      <c r="E57" s="4" t="s">
        <v>13</v>
      </c>
      <c r="F57" s="4" t="s">
        <v>14</v>
      </c>
      <c r="G57" s="4" t="s">
        <v>15</v>
      </c>
      <c r="H57" s="4">
        <v>761.0</v>
      </c>
      <c r="I57" s="4">
        <v>9885.39</v>
      </c>
      <c r="J57" s="4">
        <v>12.99</v>
      </c>
      <c r="K57" s="4" t="s">
        <v>24</v>
      </c>
      <c r="L57" s="4" t="s">
        <v>16</v>
      </c>
      <c r="M57" s="4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 t="s">
        <v>37</v>
      </c>
      <c r="B58" s="4">
        <v>2023.0</v>
      </c>
      <c r="C58" s="4">
        <v>3.0</v>
      </c>
      <c r="D58" s="4">
        <v>11.0</v>
      </c>
      <c r="E58" s="4" t="s">
        <v>17</v>
      </c>
      <c r="F58" s="4" t="s">
        <v>18</v>
      </c>
      <c r="G58" s="4" t="s">
        <v>19</v>
      </c>
      <c r="H58" s="4">
        <v>336.0</v>
      </c>
      <c r="I58" s="4">
        <v>5204.64</v>
      </c>
      <c r="J58" s="4">
        <v>15.49</v>
      </c>
      <c r="K58" s="4" t="s">
        <v>16</v>
      </c>
      <c r="L58" s="4" t="s">
        <v>16</v>
      </c>
      <c r="M58" s="4" t="s">
        <v>36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 t="s">
        <v>37</v>
      </c>
      <c r="B59" s="4">
        <v>2023.0</v>
      </c>
      <c r="C59" s="4">
        <v>3.0</v>
      </c>
      <c r="D59" s="4">
        <v>11.0</v>
      </c>
      <c r="E59" s="4" t="s">
        <v>21</v>
      </c>
      <c r="F59" s="4" t="s">
        <v>22</v>
      </c>
      <c r="G59" s="4" t="s">
        <v>23</v>
      </c>
      <c r="H59" s="4">
        <v>316.0</v>
      </c>
      <c r="I59" s="4">
        <v>1260.84</v>
      </c>
      <c r="J59" s="4">
        <v>3.99</v>
      </c>
      <c r="K59" s="4" t="s">
        <v>16</v>
      </c>
      <c r="L59" s="4" t="s">
        <v>16</v>
      </c>
      <c r="M59" s="4" t="s">
        <v>36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 t="s">
        <v>37</v>
      </c>
      <c r="B60" s="4">
        <v>2023.0</v>
      </c>
      <c r="C60" s="4">
        <v>3.0</v>
      </c>
      <c r="D60" s="4">
        <v>11.0</v>
      </c>
      <c r="E60" s="4" t="s">
        <v>25</v>
      </c>
      <c r="F60" s="4" t="s">
        <v>26</v>
      </c>
      <c r="G60" s="4" t="s">
        <v>27</v>
      </c>
      <c r="H60" s="4">
        <v>199.0</v>
      </c>
      <c r="I60" s="4">
        <v>893.51</v>
      </c>
      <c r="J60" s="4">
        <v>4.49</v>
      </c>
      <c r="K60" s="4" t="s">
        <v>16</v>
      </c>
      <c r="L60" s="4" t="s">
        <v>16</v>
      </c>
      <c r="M60" s="4" t="s">
        <v>36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 t="s">
        <v>37</v>
      </c>
      <c r="B61" s="4">
        <v>2023.0</v>
      </c>
      <c r="C61" s="4">
        <v>3.0</v>
      </c>
      <c r="D61" s="4">
        <v>11.0</v>
      </c>
      <c r="E61" s="4" t="s">
        <v>28</v>
      </c>
      <c r="F61" s="4" t="s">
        <v>29</v>
      </c>
      <c r="G61" s="4" t="s">
        <v>19</v>
      </c>
      <c r="H61" s="4">
        <v>255.0</v>
      </c>
      <c r="I61" s="4">
        <v>2292.45</v>
      </c>
      <c r="J61" s="4">
        <v>8.99</v>
      </c>
      <c r="K61" s="4" t="s">
        <v>16</v>
      </c>
      <c r="L61" s="4" t="s">
        <v>16</v>
      </c>
      <c r="M61" s="4" t="s">
        <v>36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 t="s">
        <v>38</v>
      </c>
      <c r="B62" s="4">
        <v>2023.0</v>
      </c>
      <c r="C62" s="4">
        <v>3.0</v>
      </c>
      <c r="D62" s="4">
        <v>12.0</v>
      </c>
      <c r="E62" s="4" t="s">
        <v>13</v>
      </c>
      <c r="F62" s="4" t="s">
        <v>14</v>
      </c>
      <c r="G62" s="4" t="s">
        <v>15</v>
      </c>
      <c r="H62" s="4">
        <v>665.0</v>
      </c>
      <c r="I62" s="4">
        <v>8638.35</v>
      </c>
      <c r="J62" s="4">
        <v>12.99</v>
      </c>
      <c r="K62" s="4" t="s">
        <v>24</v>
      </c>
      <c r="L62" s="4" t="s">
        <v>16</v>
      </c>
      <c r="M62" s="4" t="s">
        <v>36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 t="s">
        <v>38</v>
      </c>
      <c r="B63" s="4">
        <v>2023.0</v>
      </c>
      <c r="C63" s="4">
        <v>3.0</v>
      </c>
      <c r="D63" s="4">
        <v>12.0</v>
      </c>
      <c r="E63" s="4" t="s">
        <v>17</v>
      </c>
      <c r="F63" s="4" t="s">
        <v>18</v>
      </c>
      <c r="G63" s="4" t="s">
        <v>19</v>
      </c>
      <c r="H63" s="4">
        <v>289.0</v>
      </c>
      <c r="I63" s="4">
        <v>4476.61</v>
      </c>
      <c r="J63" s="4">
        <v>15.49</v>
      </c>
      <c r="K63" s="4" t="s">
        <v>16</v>
      </c>
      <c r="L63" s="4" t="s">
        <v>16</v>
      </c>
      <c r="M63" s="4" t="s">
        <v>36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 t="s">
        <v>38</v>
      </c>
      <c r="B64" s="4">
        <v>2023.0</v>
      </c>
      <c r="C64" s="4">
        <v>3.0</v>
      </c>
      <c r="D64" s="4">
        <v>12.0</v>
      </c>
      <c r="E64" s="4" t="s">
        <v>21</v>
      </c>
      <c r="F64" s="4" t="s">
        <v>22</v>
      </c>
      <c r="G64" s="4" t="s">
        <v>23</v>
      </c>
      <c r="H64" s="4">
        <v>232.0</v>
      </c>
      <c r="I64" s="4">
        <v>925.68</v>
      </c>
      <c r="J64" s="4">
        <v>3.99</v>
      </c>
      <c r="K64" s="4" t="s">
        <v>16</v>
      </c>
      <c r="L64" s="4" t="s">
        <v>16</v>
      </c>
      <c r="M64" s="4" t="s">
        <v>36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 t="s">
        <v>38</v>
      </c>
      <c r="B65" s="4">
        <v>2023.0</v>
      </c>
      <c r="C65" s="4">
        <v>3.0</v>
      </c>
      <c r="D65" s="4">
        <v>12.0</v>
      </c>
      <c r="E65" s="4" t="s">
        <v>25</v>
      </c>
      <c r="F65" s="4" t="s">
        <v>26</v>
      </c>
      <c r="G65" s="4" t="s">
        <v>27</v>
      </c>
      <c r="H65" s="4">
        <v>211.0</v>
      </c>
      <c r="I65" s="4">
        <v>947.39</v>
      </c>
      <c r="J65" s="4">
        <v>4.49</v>
      </c>
      <c r="K65" s="4" t="s">
        <v>16</v>
      </c>
      <c r="L65" s="4" t="s">
        <v>16</v>
      </c>
      <c r="M65" s="4" t="s">
        <v>36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 t="s">
        <v>38</v>
      </c>
      <c r="B66" s="4">
        <v>2023.0</v>
      </c>
      <c r="C66" s="4">
        <v>3.0</v>
      </c>
      <c r="D66" s="4">
        <v>12.0</v>
      </c>
      <c r="E66" s="4" t="s">
        <v>28</v>
      </c>
      <c r="F66" s="4" t="s">
        <v>29</v>
      </c>
      <c r="G66" s="4" t="s">
        <v>19</v>
      </c>
      <c r="H66" s="4">
        <v>277.0</v>
      </c>
      <c r="I66" s="4">
        <v>2490.23</v>
      </c>
      <c r="J66" s="4">
        <v>8.99</v>
      </c>
      <c r="K66" s="4" t="s">
        <v>16</v>
      </c>
      <c r="L66" s="4" t="s">
        <v>16</v>
      </c>
      <c r="M66" s="4" t="s">
        <v>36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>
        <v>44961.0</v>
      </c>
      <c r="B67" s="4">
        <v>2023.0</v>
      </c>
      <c r="C67" s="4">
        <v>4.0</v>
      </c>
      <c r="D67" s="4">
        <v>13.0</v>
      </c>
      <c r="E67" s="4" t="s">
        <v>13</v>
      </c>
      <c r="F67" s="4" t="s">
        <v>14</v>
      </c>
      <c r="G67" s="4" t="s">
        <v>15</v>
      </c>
      <c r="H67" s="4">
        <v>677.0</v>
      </c>
      <c r="I67" s="4">
        <v>8794.23</v>
      </c>
      <c r="J67" s="4">
        <v>12.99</v>
      </c>
      <c r="K67" s="4" t="s">
        <v>24</v>
      </c>
      <c r="L67" s="4" t="s">
        <v>16</v>
      </c>
      <c r="M67" s="4" t="s">
        <v>39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>
        <v>44961.0</v>
      </c>
      <c r="B68" s="4">
        <v>2023.0</v>
      </c>
      <c r="C68" s="4">
        <v>4.0</v>
      </c>
      <c r="D68" s="4">
        <v>13.0</v>
      </c>
      <c r="E68" s="4" t="s">
        <v>17</v>
      </c>
      <c r="F68" s="4" t="s">
        <v>18</v>
      </c>
      <c r="G68" s="4" t="s">
        <v>19</v>
      </c>
      <c r="H68" s="4">
        <v>280.0</v>
      </c>
      <c r="I68" s="4">
        <v>4337.2</v>
      </c>
      <c r="J68" s="4">
        <v>15.49</v>
      </c>
      <c r="K68" s="4" t="s">
        <v>16</v>
      </c>
      <c r="L68" s="4" t="s">
        <v>16</v>
      </c>
      <c r="M68" s="4" t="s">
        <v>39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>
        <v>44961.0</v>
      </c>
      <c r="B69" s="4">
        <v>2023.0</v>
      </c>
      <c r="C69" s="4">
        <v>4.0</v>
      </c>
      <c r="D69" s="4">
        <v>13.0</v>
      </c>
      <c r="E69" s="4" t="s">
        <v>21</v>
      </c>
      <c r="F69" s="4" t="s">
        <v>22</v>
      </c>
      <c r="G69" s="4" t="s">
        <v>23</v>
      </c>
      <c r="H69" s="4">
        <v>248.0</v>
      </c>
      <c r="I69" s="4">
        <v>989.52</v>
      </c>
      <c r="J69" s="4">
        <v>3.99</v>
      </c>
      <c r="K69" s="4" t="s">
        <v>16</v>
      </c>
      <c r="L69" s="4" t="s">
        <v>16</v>
      </c>
      <c r="M69" s="4" t="s">
        <v>39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>
        <v>44961.0</v>
      </c>
      <c r="B70" s="4">
        <v>2023.0</v>
      </c>
      <c r="C70" s="4">
        <v>4.0</v>
      </c>
      <c r="D70" s="4">
        <v>13.0</v>
      </c>
      <c r="E70" s="4" t="s">
        <v>25</v>
      </c>
      <c r="F70" s="4" t="s">
        <v>26</v>
      </c>
      <c r="G70" s="4" t="s">
        <v>27</v>
      </c>
      <c r="H70" s="4">
        <v>192.0</v>
      </c>
      <c r="I70" s="4">
        <v>862.08</v>
      </c>
      <c r="J70" s="4">
        <v>4.49</v>
      </c>
      <c r="K70" s="4" t="s">
        <v>16</v>
      </c>
      <c r="L70" s="4" t="s">
        <v>16</v>
      </c>
      <c r="M70" s="4" t="s">
        <v>39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">
        <v>44961.0</v>
      </c>
      <c r="B71" s="4">
        <v>2023.0</v>
      </c>
      <c r="C71" s="4">
        <v>4.0</v>
      </c>
      <c r="D71" s="4">
        <v>13.0</v>
      </c>
      <c r="E71" s="4" t="s">
        <v>28</v>
      </c>
      <c r="F71" s="4" t="s">
        <v>29</v>
      </c>
      <c r="G71" s="4" t="s">
        <v>19</v>
      </c>
      <c r="H71" s="4">
        <v>296.0</v>
      </c>
      <c r="I71" s="4">
        <v>2661.04</v>
      </c>
      <c r="J71" s="4">
        <v>8.99</v>
      </c>
      <c r="K71" s="4" t="s">
        <v>16</v>
      </c>
      <c r="L71" s="4" t="s">
        <v>16</v>
      </c>
      <c r="M71" s="4" t="s">
        <v>39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>
        <v>45173.0</v>
      </c>
      <c r="B72" s="4">
        <v>2023.0</v>
      </c>
      <c r="C72" s="4">
        <v>4.0</v>
      </c>
      <c r="D72" s="4">
        <v>14.0</v>
      </c>
      <c r="E72" s="4" t="s">
        <v>13</v>
      </c>
      <c r="F72" s="4" t="s">
        <v>14</v>
      </c>
      <c r="G72" s="4" t="s">
        <v>15</v>
      </c>
      <c r="H72" s="4">
        <v>383.0</v>
      </c>
      <c r="I72" s="4">
        <v>4975.17</v>
      </c>
      <c r="J72" s="4">
        <v>12.99</v>
      </c>
      <c r="K72" s="4" t="s">
        <v>16</v>
      </c>
      <c r="L72" s="4" t="s">
        <v>16</v>
      </c>
      <c r="M72" s="4" t="s">
        <v>39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">
        <v>45173.0</v>
      </c>
      <c r="B73" s="4">
        <v>2023.0</v>
      </c>
      <c r="C73" s="4">
        <v>4.0</v>
      </c>
      <c r="D73" s="4">
        <v>14.0</v>
      </c>
      <c r="E73" s="4" t="s">
        <v>17</v>
      </c>
      <c r="F73" s="4" t="s">
        <v>18</v>
      </c>
      <c r="G73" s="4" t="s">
        <v>19</v>
      </c>
      <c r="H73" s="4">
        <v>347.0</v>
      </c>
      <c r="I73" s="4">
        <v>5375.03</v>
      </c>
      <c r="J73" s="4">
        <v>15.49</v>
      </c>
      <c r="K73" s="4" t="s">
        <v>16</v>
      </c>
      <c r="L73" s="4" t="s">
        <v>16</v>
      </c>
      <c r="M73" s="4" t="s">
        <v>39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>
        <v>45173.0</v>
      </c>
      <c r="B74" s="4">
        <v>2023.0</v>
      </c>
      <c r="C74" s="4">
        <v>4.0</v>
      </c>
      <c r="D74" s="4">
        <v>14.0</v>
      </c>
      <c r="E74" s="4" t="s">
        <v>21</v>
      </c>
      <c r="F74" s="4" t="s">
        <v>22</v>
      </c>
      <c r="G74" s="4" t="s">
        <v>23</v>
      </c>
      <c r="H74" s="4">
        <v>304.0</v>
      </c>
      <c r="I74" s="4">
        <v>1212.96</v>
      </c>
      <c r="J74" s="4">
        <v>3.99</v>
      </c>
      <c r="K74" s="4" t="s">
        <v>16</v>
      </c>
      <c r="L74" s="4" t="s">
        <v>16</v>
      </c>
      <c r="M74" s="4" t="s">
        <v>39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">
        <v>45173.0</v>
      </c>
      <c r="B75" s="4">
        <v>2023.0</v>
      </c>
      <c r="C75" s="4">
        <v>4.0</v>
      </c>
      <c r="D75" s="4">
        <v>14.0</v>
      </c>
      <c r="E75" s="4" t="s">
        <v>25</v>
      </c>
      <c r="F75" s="4" t="s">
        <v>26</v>
      </c>
      <c r="G75" s="4" t="s">
        <v>27</v>
      </c>
      <c r="H75" s="4">
        <v>190.0</v>
      </c>
      <c r="I75" s="4">
        <v>853.1</v>
      </c>
      <c r="J75" s="4">
        <v>4.49</v>
      </c>
      <c r="K75" s="4" t="s">
        <v>16</v>
      </c>
      <c r="L75" s="4" t="s">
        <v>16</v>
      </c>
      <c r="M75" s="4" t="s">
        <v>39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>
        <v>45173.0</v>
      </c>
      <c r="B76" s="4">
        <v>2023.0</v>
      </c>
      <c r="C76" s="4">
        <v>4.0</v>
      </c>
      <c r="D76" s="4">
        <v>14.0</v>
      </c>
      <c r="E76" s="4" t="s">
        <v>28</v>
      </c>
      <c r="F76" s="4" t="s">
        <v>29</v>
      </c>
      <c r="G76" s="4" t="s">
        <v>19</v>
      </c>
      <c r="H76" s="4">
        <v>227.0</v>
      </c>
      <c r="I76" s="4">
        <v>2040.73</v>
      </c>
      <c r="J76" s="4">
        <v>8.99</v>
      </c>
      <c r="K76" s="4" t="s">
        <v>16</v>
      </c>
      <c r="L76" s="4" t="s">
        <v>16</v>
      </c>
      <c r="M76" s="4" t="s">
        <v>39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 t="s">
        <v>40</v>
      </c>
      <c r="B77" s="4">
        <v>2023.0</v>
      </c>
      <c r="C77" s="4">
        <v>4.0</v>
      </c>
      <c r="D77" s="4">
        <v>15.0</v>
      </c>
      <c r="E77" s="4" t="s">
        <v>13</v>
      </c>
      <c r="F77" s="4" t="s">
        <v>14</v>
      </c>
      <c r="G77" s="4" t="s">
        <v>15</v>
      </c>
      <c r="H77" s="4">
        <v>515.0</v>
      </c>
      <c r="I77" s="4">
        <v>6689.85</v>
      </c>
      <c r="J77" s="4">
        <v>12.99</v>
      </c>
      <c r="K77" s="4" t="s">
        <v>16</v>
      </c>
      <c r="L77" s="4" t="s">
        <v>16</v>
      </c>
      <c r="M77" s="4" t="s">
        <v>39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 t="s">
        <v>40</v>
      </c>
      <c r="B78" s="4">
        <v>2023.0</v>
      </c>
      <c r="C78" s="4">
        <v>4.0</v>
      </c>
      <c r="D78" s="4">
        <v>15.0</v>
      </c>
      <c r="E78" s="4" t="s">
        <v>17</v>
      </c>
      <c r="F78" s="4" t="s">
        <v>18</v>
      </c>
      <c r="G78" s="4" t="s">
        <v>19</v>
      </c>
      <c r="H78" s="4">
        <v>281.0</v>
      </c>
      <c r="I78" s="4">
        <v>4352.69</v>
      </c>
      <c r="J78" s="4">
        <v>15.49</v>
      </c>
      <c r="K78" s="4" t="s">
        <v>16</v>
      </c>
      <c r="L78" s="4" t="s">
        <v>16</v>
      </c>
      <c r="M78" s="4" t="s">
        <v>39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 t="s">
        <v>40</v>
      </c>
      <c r="B79" s="4">
        <v>2023.0</v>
      </c>
      <c r="C79" s="4">
        <v>4.0</v>
      </c>
      <c r="D79" s="4">
        <v>15.0</v>
      </c>
      <c r="E79" s="4" t="s">
        <v>21</v>
      </c>
      <c r="F79" s="4" t="s">
        <v>22</v>
      </c>
      <c r="G79" s="4" t="s">
        <v>23</v>
      </c>
      <c r="H79" s="4">
        <v>407.0</v>
      </c>
      <c r="I79" s="4">
        <v>1623.93</v>
      </c>
      <c r="J79" s="4">
        <v>3.99</v>
      </c>
      <c r="K79" s="4" t="s">
        <v>24</v>
      </c>
      <c r="L79" s="4" t="s">
        <v>16</v>
      </c>
      <c r="M79" s="4" t="s">
        <v>39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 t="s">
        <v>40</v>
      </c>
      <c r="B80" s="4">
        <v>2023.0</v>
      </c>
      <c r="C80" s="4">
        <v>4.0</v>
      </c>
      <c r="D80" s="4">
        <v>15.0</v>
      </c>
      <c r="E80" s="4" t="s">
        <v>25</v>
      </c>
      <c r="F80" s="4" t="s">
        <v>26</v>
      </c>
      <c r="G80" s="4" t="s">
        <v>27</v>
      </c>
      <c r="H80" s="4">
        <v>203.0</v>
      </c>
      <c r="I80" s="4">
        <v>911.47</v>
      </c>
      <c r="J80" s="4">
        <v>4.49</v>
      </c>
      <c r="K80" s="4" t="s">
        <v>16</v>
      </c>
      <c r="L80" s="4" t="s">
        <v>16</v>
      </c>
      <c r="M80" s="4" t="s">
        <v>39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 t="s">
        <v>40</v>
      </c>
      <c r="B81" s="4">
        <v>2023.0</v>
      </c>
      <c r="C81" s="4">
        <v>4.0</v>
      </c>
      <c r="D81" s="4">
        <v>15.0</v>
      </c>
      <c r="E81" s="4" t="s">
        <v>28</v>
      </c>
      <c r="F81" s="4" t="s">
        <v>29</v>
      </c>
      <c r="G81" s="4" t="s">
        <v>19</v>
      </c>
      <c r="H81" s="4">
        <v>264.0</v>
      </c>
      <c r="I81" s="4">
        <v>2373.36</v>
      </c>
      <c r="J81" s="4">
        <v>8.99</v>
      </c>
      <c r="K81" s="4" t="s">
        <v>16</v>
      </c>
      <c r="L81" s="4" t="s">
        <v>16</v>
      </c>
      <c r="M81" s="4" t="s">
        <v>39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 t="s">
        <v>41</v>
      </c>
      <c r="B82" s="4">
        <v>2023.0</v>
      </c>
      <c r="C82" s="4">
        <v>4.0</v>
      </c>
      <c r="D82" s="4">
        <v>16.0</v>
      </c>
      <c r="E82" s="4" t="s">
        <v>13</v>
      </c>
      <c r="F82" s="4" t="s">
        <v>14</v>
      </c>
      <c r="G82" s="4" t="s">
        <v>15</v>
      </c>
      <c r="H82" s="4">
        <v>492.0</v>
      </c>
      <c r="I82" s="4">
        <v>6391.08</v>
      </c>
      <c r="J82" s="4">
        <v>12.99</v>
      </c>
      <c r="K82" s="4" t="s">
        <v>16</v>
      </c>
      <c r="L82" s="4" t="s">
        <v>16</v>
      </c>
      <c r="M82" s="4" t="s">
        <v>39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" t="s">
        <v>41</v>
      </c>
      <c r="B83" s="4">
        <v>2023.0</v>
      </c>
      <c r="C83" s="4">
        <v>4.0</v>
      </c>
      <c r="D83" s="4">
        <v>16.0</v>
      </c>
      <c r="E83" s="4" t="s">
        <v>17</v>
      </c>
      <c r="F83" s="4" t="s">
        <v>18</v>
      </c>
      <c r="G83" s="4" t="s">
        <v>19</v>
      </c>
      <c r="H83" s="4">
        <v>350.0</v>
      </c>
      <c r="I83" s="4">
        <v>5421.5</v>
      </c>
      <c r="J83" s="4">
        <v>15.49</v>
      </c>
      <c r="K83" s="4" t="s">
        <v>16</v>
      </c>
      <c r="L83" s="4" t="s">
        <v>16</v>
      </c>
      <c r="M83" s="4" t="s">
        <v>39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 t="s">
        <v>41</v>
      </c>
      <c r="B84" s="4">
        <v>2023.0</v>
      </c>
      <c r="C84" s="4">
        <v>4.0</v>
      </c>
      <c r="D84" s="4">
        <v>16.0</v>
      </c>
      <c r="E84" s="4" t="s">
        <v>21</v>
      </c>
      <c r="F84" s="4" t="s">
        <v>22</v>
      </c>
      <c r="G84" s="4" t="s">
        <v>23</v>
      </c>
      <c r="H84" s="4">
        <v>308.0</v>
      </c>
      <c r="I84" s="4">
        <v>1228.92</v>
      </c>
      <c r="J84" s="4">
        <v>3.99</v>
      </c>
      <c r="K84" s="4" t="s">
        <v>16</v>
      </c>
      <c r="L84" s="4" t="s">
        <v>16</v>
      </c>
      <c r="M84" s="4" t="s">
        <v>39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" t="s">
        <v>41</v>
      </c>
      <c r="B85" s="4">
        <v>2023.0</v>
      </c>
      <c r="C85" s="4">
        <v>4.0</v>
      </c>
      <c r="D85" s="4">
        <v>16.0</v>
      </c>
      <c r="E85" s="4" t="s">
        <v>25</v>
      </c>
      <c r="F85" s="4" t="s">
        <v>26</v>
      </c>
      <c r="G85" s="4" t="s">
        <v>27</v>
      </c>
      <c r="H85" s="4">
        <v>225.0</v>
      </c>
      <c r="I85" s="4">
        <v>1010.25</v>
      </c>
      <c r="J85" s="4">
        <v>4.49</v>
      </c>
      <c r="K85" s="4" t="s">
        <v>16</v>
      </c>
      <c r="L85" s="4" t="s">
        <v>16</v>
      </c>
      <c r="M85" s="4" t="s">
        <v>39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 t="s">
        <v>41</v>
      </c>
      <c r="B86" s="4">
        <v>2023.0</v>
      </c>
      <c r="C86" s="4">
        <v>4.0</v>
      </c>
      <c r="D86" s="4">
        <v>16.0</v>
      </c>
      <c r="E86" s="4" t="s">
        <v>28</v>
      </c>
      <c r="F86" s="4" t="s">
        <v>29</v>
      </c>
      <c r="G86" s="4" t="s">
        <v>19</v>
      </c>
      <c r="H86" s="4">
        <v>64.0</v>
      </c>
      <c r="I86" s="4">
        <v>575.36</v>
      </c>
      <c r="J86" s="4">
        <v>8.99</v>
      </c>
      <c r="K86" s="4" t="s">
        <v>16</v>
      </c>
      <c r="L86" s="4" t="s">
        <v>24</v>
      </c>
      <c r="M86" s="4" t="s">
        <v>39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" t="s">
        <v>42</v>
      </c>
      <c r="B87" s="4">
        <v>2023.0</v>
      </c>
      <c r="C87" s="4">
        <v>4.0</v>
      </c>
      <c r="D87" s="4">
        <v>17.0</v>
      </c>
      <c r="E87" s="4" t="s">
        <v>13</v>
      </c>
      <c r="F87" s="4" t="s">
        <v>14</v>
      </c>
      <c r="G87" s="4" t="s">
        <v>15</v>
      </c>
      <c r="H87" s="4">
        <v>441.0</v>
      </c>
      <c r="I87" s="4">
        <v>5728.59</v>
      </c>
      <c r="J87" s="4">
        <v>12.99</v>
      </c>
      <c r="K87" s="4" t="s">
        <v>16</v>
      </c>
      <c r="L87" s="4" t="s">
        <v>16</v>
      </c>
      <c r="M87" s="4" t="s">
        <v>39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 t="s">
        <v>42</v>
      </c>
      <c r="B88" s="4">
        <v>2023.0</v>
      </c>
      <c r="C88" s="4">
        <v>4.0</v>
      </c>
      <c r="D88" s="4">
        <v>17.0</v>
      </c>
      <c r="E88" s="4" t="s">
        <v>17</v>
      </c>
      <c r="F88" s="4" t="s">
        <v>18</v>
      </c>
      <c r="G88" s="4" t="s">
        <v>19</v>
      </c>
      <c r="H88" s="4">
        <v>150.0</v>
      </c>
      <c r="I88" s="4">
        <v>2323.5</v>
      </c>
      <c r="J88" s="4">
        <v>15.49</v>
      </c>
      <c r="K88" s="4" t="s">
        <v>24</v>
      </c>
      <c r="L88" s="4" t="s">
        <v>24</v>
      </c>
      <c r="M88" s="4" t="s">
        <v>39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" t="s">
        <v>42</v>
      </c>
      <c r="B89" s="4">
        <v>2023.0</v>
      </c>
      <c r="C89" s="4">
        <v>4.0</v>
      </c>
      <c r="D89" s="4">
        <v>17.0</v>
      </c>
      <c r="E89" s="4" t="s">
        <v>21</v>
      </c>
      <c r="F89" s="4" t="s">
        <v>22</v>
      </c>
      <c r="G89" s="4" t="s">
        <v>23</v>
      </c>
      <c r="H89" s="4">
        <v>215.0</v>
      </c>
      <c r="I89" s="4">
        <v>857.85</v>
      </c>
      <c r="J89" s="4">
        <v>3.99</v>
      </c>
      <c r="K89" s="4" t="s">
        <v>16</v>
      </c>
      <c r="L89" s="4" t="s">
        <v>16</v>
      </c>
      <c r="M89" s="4" t="s">
        <v>39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 t="s">
        <v>42</v>
      </c>
      <c r="B90" s="4">
        <v>2023.0</v>
      </c>
      <c r="C90" s="4">
        <v>4.0</v>
      </c>
      <c r="D90" s="4">
        <v>17.0</v>
      </c>
      <c r="E90" s="4" t="s">
        <v>25</v>
      </c>
      <c r="F90" s="4" t="s">
        <v>26</v>
      </c>
      <c r="G90" s="4" t="s">
        <v>27</v>
      </c>
      <c r="H90" s="4">
        <v>195.0</v>
      </c>
      <c r="I90" s="4">
        <v>875.55</v>
      </c>
      <c r="J90" s="4">
        <v>4.49</v>
      </c>
      <c r="K90" s="4" t="s">
        <v>16</v>
      </c>
      <c r="L90" s="4" t="s">
        <v>16</v>
      </c>
      <c r="M90" s="4" t="s">
        <v>39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" t="s">
        <v>42</v>
      </c>
      <c r="B91" s="4">
        <v>2023.0</v>
      </c>
      <c r="C91" s="4">
        <v>4.0</v>
      </c>
      <c r="D91" s="4">
        <v>17.0</v>
      </c>
      <c r="E91" s="4" t="s">
        <v>28</v>
      </c>
      <c r="F91" s="4" t="s">
        <v>29</v>
      </c>
      <c r="G91" s="4" t="s">
        <v>19</v>
      </c>
      <c r="H91" s="4">
        <v>204.0</v>
      </c>
      <c r="I91" s="4">
        <v>1833.96</v>
      </c>
      <c r="J91" s="4">
        <v>8.99</v>
      </c>
      <c r="K91" s="4" t="s">
        <v>16</v>
      </c>
      <c r="L91" s="4" t="s">
        <v>16</v>
      </c>
      <c r="M91" s="4" t="s">
        <v>39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>
        <v>45112.0</v>
      </c>
      <c r="B92" s="4">
        <v>2023.0</v>
      </c>
      <c r="C92" s="4">
        <v>5.0</v>
      </c>
      <c r="D92" s="4">
        <v>18.0</v>
      </c>
      <c r="E92" s="4" t="s">
        <v>13</v>
      </c>
      <c r="F92" s="4" t="s">
        <v>14</v>
      </c>
      <c r="G92" s="4" t="s">
        <v>15</v>
      </c>
      <c r="H92" s="4">
        <v>461.0</v>
      </c>
      <c r="I92" s="4">
        <v>5988.39</v>
      </c>
      <c r="J92" s="4">
        <v>12.99</v>
      </c>
      <c r="K92" s="4" t="s">
        <v>16</v>
      </c>
      <c r="L92" s="4" t="s">
        <v>16</v>
      </c>
      <c r="M92" s="4" t="s">
        <v>43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">
        <v>45112.0</v>
      </c>
      <c r="B93" s="4">
        <v>2023.0</v>
      </c>
      <c r="C93" s="4">
        <v>5.0</v>
      </c>
      <c r="D93" s="4">
        <v>18.0</v>
      </c>
      <c r="E93" s="4" t="s">
        <v>17</v>
      </c>
      <c r="F93" s="4" t="s">
        <v>18</v>
      </c>
      <c r="G93" s="4" t="s">
        <v>19</v>
      </c>
      <c r="H93" s="4">
        <v>293.0</v>
      </c>
      <c r="I93" s="4">
        <v>4538.57</v>
      </c>
      <c r="J93" s="4">
        <v>15.49</v>
      </c>
      <c r="K93" s="4" t="s">
        <v>16</v>
      </c>
      <c r="L93" s="4" t="s">
        <v>16</v>
      </c>
      <c r="M93" s="4" t="s">
        <v>43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>
        <v>45112.0</v>
      </c>
      <c r="B94" s="4">
        <v>2023.0</v>
      </c>
      <c r="C94" s="4">
        <v>5.0</v>
      </c>
      <c r="D94" s="4">
        <v>18.0</v>
      </c>
      <c r="E94" s="4" t="s">
        <v>21</v>
      </c>
      <c r="F94" s="4" t="s">
        <v>22</v>
      </c>
      <c r="G94" s="4" t="s">
        <v>23</v>
      </c>
      <c r="H94" s="4">
        <v>198.0</v>
      </c>
      <c r="I94" s="4">
        <v>790.02</v>
      </c>
      <c r="J94" s="4">
        <v>3.99</v>
      </c>
      <c r="K94" s="4" t="s">
        <v>16</v>
      </c>
      <c r="L94" s="4" t="s">
        <v>16</v>
      </c>
      <c r="M94" s="4" t="s">
        <v>43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">
        <v>45112.0</v>
      </c>
      <c r="B95" s="4">
        <v>2023.0</v>
      </c>
      <c r="C95" s="4">
        <v>5.0</v>
      </c>
      <c r="D95" s="4">
        <v>18.0</v>
      </c>
      <c r="E95" s="4" t="s">
        <v>25</v>
      </c>
      <c r="F95" s="4" t="s">
        <v>26</v>
      </c>
      <c r="G95" s="4" t="s">
        <v>27</v>
      </c>
      <c r="H95" s="4">
        <v>198.0</v>
      </c>
      <c r="I95" s="4">
        <v>889.02</v>
      </c>
      <c r="J95" s="4">
        <v>4.49</v>
      </c>
      <c r="K95" s="4" t="s">
        <v>16</v>
      </c>
      <c r="L95" s="4" t="s">
        <v>16</v>
      </c>
      <c r="M95" s="4" t="s">
        <v>43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>
        <v>45112.0</v>
      </c>
      <c r="B96" s="4">
        <v>2023.0</v>
      </c>
      <c r="C96" s="4">
        <v>5.0</v>
      </c>
      <c r="D96" s="4">
        <v>18.0</v>
      </c>
      <c r="E96" s="4" t="s">
        <v>28</v>
      </c>
      <c r="F96" s="4" t="s">
        <v>29</v>
      </c>
      <c r="G96" s="4" t="s">
        <v>19</v>
      </c>
      <c r="H96" s="4">
        <v>262.0</v>
      </c>
      <c r="I96" s="4">
        <v>2355.38</v>
      </c>
      <c r="J96" s="4">
        <v>8.99</v>
      </c>
      <c r="K96" s="4" t="s">
        <v>16</v>
      </c>
      <c r="L96" s="4" t="s">
        <v>16</v>
      </c>
      <c r="M96" s="4" t="s">
        <v>43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" t="s">
        <v>44</v>
      </c>
      <c r="B97" s="4">
        <v>2023.0</v>
      </c>
      <c r="C97" s="4">
        <v>5.0</v>
      </c>
      <c r="D97" s="4">
        <v>19.0</v>
      </c>
      <c r="E97" s="4" t="s">
        <v>13</v>
      </c>
      <c r="F97" s="4" t="s">
        <v>14</v>
      </c>
      <c r="G97" s="4" t="s">
        <v>15</v>
      </c>
      <c r="H97" s="4">
        <v>518.0</v>
      </c>
      <c r="I97" s="4">
        <v>6728.82</v>
      </c>
      <c r="J97" s="4">
        <v>12.99</v>
      </c>
      <c r="K97" s="4" t="s">
        <v>16</v>
      </c>
      <c r="L97" s="4" t="s">
        <v>16</v>
      </c>
      <c r="M97" s="4" t="s">
        <v>43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 t="s">
        <v>44</v>
      </c>
      <c r="B98" s="4">
        <v>2023.0</v>
      </c>
      <c r="C98" s="4">
        <v>5.0</v>
      </c>
      <c r="D98" s="4">
        <v>19.0</v>
      </c>
      <c r="E98" s="4" t="s">
        <v>17</v>
      </c>
      <c r="F98" s="4" t="s">
        <v>18</v>
      </c>
      <c r="G98" s="4" t="s">
        <v>19</v>
      </c>
      <c r="H98" s="4">
        <v>412.0</v>
      </c>
      <c r="I98" s="4">
        <v>6381.88</v>
      </c>
      <c r="J98" s="4">
        <v>15.49</v>
      </c>
      <c r="K98" s="4" t="s">
        <v>16</v>
      </c>
      <c r="L98" s="4" t="s">
        <v>16</v>
      </c>
      <c r="M98" s="4" t="s">
        <v>43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" t="s">
        <v>44</v>
      </c>
      <c r="B99" s="4">
        <v>2023.0</v>
      </c>
      <c r="C99" s="4">
        <v>5.0</v>
      </c>
      <c r="D99" s="4">
        <v>19.0</v>
      </c>
      <c r="E99" s="4" t="s">
        <v>21</v>
      </c>
      <c r="F99" s="4" t="s">
        <v>22</v>
      </c>
      <c r="G99" s="4" t="s">
        <v>23</v>
      </c>
      <c r="H99" s="4">
        <v>302.0</v>
      </c>
      <c r="I99" s="4">
        <v>1204.98</v>
      </c>
      <c r="J99" s="4">
        <v>3.99</v>
      </c>
      <c r="K99" s="4" t="s">
        <v>16</v>
      </c>
      <c r="L99" s="4" t="s">
        <v>16</v>
      </c>
      <c r="M99" s="4" t="s">
        <v>43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 t="s">
        <v>44</v>
      </c>
      <c r="B100" s="4">
        <v>2023.0</v>
      </c>
      <c r="C100" s="4">
        <v>5.0</v>
      </c>
      <c r="D100" s="4">
        <v>19.0</v>
      </c>
      <c r="E100" s="4" t="s">
        <v>25</v>
      </c>
      <c r="F100" s="4" t="s">
        <v>26</v>
      </c>
      <c r="G100" s="4" t="s">
        <v>27</v>
      </c>
      <c r="H100" s="4">
        <v>255.0</v>
      </c>
      <c r="I100" s="4">
        <v>1144.95</v>
      </c>
      <c r="J100" s="4">
        <v>4.49</v>
      </c>
      <c r="K100" s="4" t="s">
        <v>16</v>
      </c>
      <c r="L100" s="4" t="s">
        <v>16</v>
      </c>
      <c r="M100" s="4" t="s">
        <v>43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" t="s">
        <v>44</v>
      </c>
      <c r="B101" s="4">
        <v>2023.0</v>
      </c>
      <c r="C101" s="4">
        <v>5.0</v>
      </c>
      <c r="D101" s="4">
        <v>19.0</v>
      </c>
      <c r="E101" s="4" t="s">
        <v>28</v>
      </c>
      <c r="F101" s="4" t="s">
        <v>29</v>
      </c>
      <c r="G101" s="4" t="s">
        <v>19</v>
      </c>
      <c r="H101" s="4">
        <v>282.0</v>
      </c>
      <c r="I101" s="4">
        <v>2535.18</v>
      </c>
      <c r="J101" s="4">
        <v>8.99</v>
      </c>
      <c r="K101" s="4" t="s">
        <v>16</v>
      </c>
      <c r="L101" s="4" t="s">
        <v>16</v>
      </c>
      <c r="M101" s="4" t="s">
        <v>43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 t="s">
        <v>45</v>
      </c>
      <c r="B102" s="4">
        <v>2023.0</v>
      </c>
      <c r="C102" s="4">
        <v>5.0</v>
      </c>
      <c r="D102" s="4">
        <v>20.0</v>
      </c>
      <c r="E102" s="4" t="s">
        <v>13</v>
      </c>
      <c r="F102" s="4" t="s">
        <v>14</v>
      </c>
      <c r="G102" s="4" t="s">
        <v>15</v>
      </c>
      <c r="H102" s="4">
        <v>489.0</v>
      </c>
      <c r="I102" s="4">
        <v>6352.11</v>
      </c>
      <c r="J102" s="4">
        <v>12.99</v>
      </c>
      <c r="K102" s="4" t="s">
        <v>16</v>
      </c>
      <c r="L102" s="4" t="s">
        <v>16</v>
      </c>
      <c r="M102" s="4" t="s">
        <v>43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" t="s">
        <v>45</v>
      </c>
      <c r="B103" s="4">
        <v>2023.0</v>
      </c>
      <c r="C103" s="4">
        <v>5.0</v>
      </c>
      <c r="D103" s="4">
        <v>20.0</v>
      </c>
      <c r="E103" s="4" t="s">
        <v>17</v>
      </c>
      <c r="F103" s="4" t="s">
        <v>18</v>
      </c>
      <c r="G103" s="4" t="s">
        <v>19</v>
      </c>
      <c r="H103" s="4">
        <v>364.0</v>
      </c>
      <c r="I103" s="4">
        <v>5638.36</v>
      </c>
      <c r="J103" s="4">
        <v>15.49</v>
      </c>
      <c r="K103" s="4" t="s">
        <v>16</v>
      </c>
      <c r="L103" s="4" t="s">
        <v>16</v>
      </c>
      <c r="M103" s="4" t="s">
        <v>43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 t="s">
        <v>45</v>
      </c>
      <c r="B104" s="4">
        <v>2023.0</v>
      </c>
      <c r="C104" s="4">
        <v>5.0</v>
      </c>
      <c r="D104" s="4">
        <v>20.0</v>
      </c>
      <c r="E104" s="4" t="s">
        <v>21</v>
      </c>
      <c r="F104" s="4" t="s">
        <v>22</v>
      </c>
      <c r="G104" s="4" t="s">
        <v>23</v>
      </c>
      <c r="H104" s="4">
        <v>274.0</v>
      </c>
      <c r="I104" s="4">
        <v>1093.26</v>
      </c>
      <c r="J104" s="4">
        <v>3.99</v>
      </c>
      <c r="K104" s="4" t="s">
        <v>16</v>
      </c>
      <c r="L104" s="4" t="s">
        <v>16</v>
      </c>
      <c r="M104" s="4" t="s">
        <v>43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" t="s">
        <v>45</v>
      </c>
      <c r="B105" s="4">
        <v>2023.0</v>
      </c>
      <c r="C105" s="4">
        <v>5.0</v>
      </c>
      <c r="D105" s="4">
        <v>20.0</v>
      </c>
      <c r="E105" s="4" t="s">
        <v>25</v>
      </c>
      <c r="F105" s="4" t="s">
        <v>26</v>
      </c>
      <c r="G105" s="4" t="s">
        <v>27</v>
      </c>
      <c r="H105" s="4">
        <v>47.0</v>
      </c>
      <c r="I105" s="4">
        <v>211.03</v>
      </c>
      <c r="J105" s="4">
        <v>4.49</v>
      </c>
      <c r="K105" s="4" t="s">
        <v>16</v>
      </c>
      <c r="L105" s="4" t="s">
        <v>24</v>
      </c>
      <c r="M105" s="4" t="s">
        <v>43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 t="s">
        <v>45</v>
      </c>
      <c r="B106" s="4">
        <v>2023.0</v>
      </c>
      <c r="C106" s="4">
        <v>5.0</v>
      </c>
      <c r="D106" s="4">
        <v>20.0</v>
      </c>
      <c r="E106" s="4" t="s">
        <v>28</v>
      </c>
      <c r="F106" s="4" t="s">
        <v>29</v>
      </c>
      <c r="G106" s="4" t="s">
        <v>19</v>
      </c>
      <c r="H106" s="4">
        <v>297.0</v>
      </c>
      <c r="I106" s="4">
        <v>2670.03</v>
      </c>
      <c r="J106" s="4">
        <v>8.99</v>
      </c>
      <c r="K106" s="4" t="s">
        <v>16</v>
      </c>
      <c r="L106" s="4" t="s">
        <v>16</v>
      </c>
      <c r="M106" s="4" t="s">
        <v>43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" t="s">
        <v>46</v>
      </c>
      <c r="B107" s="4">
        <v>2023.0</v>
      </c>
      <c r="C107" s="4">
        <v>5.0</v>
      </c>
      <c r="D107" s="4">
        <v>21.0</v>
      </c>
      <c r="E107" s="4" t="s">
        <v>13</v>
      </c>
      <c r="F107" s="4" t="s">
        <v>14</v>
      </c>
      <c r="G107" s="4" t="s">
        <v>15</v>
      </c>
      <c r="H107" s="4">
        <v>360.0</v>
      </c>
      <c r="I107" s="4">
        <v>4676.4</v>
      </c>
      <c r="J107" s="4">
        <v>12.99</v>
      </c>
      <c r="K107" s="4" t="s">
        <v>16</v>
      </c>
      <c r="L107" s="4" t="s">
        <v>16</v>
      </c>
      <c r="M107" s="4" t="s">
        <v>43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 t="s">
        <v>46</v>
      </c>
      <c r="B108" s="4">
        <v>2023.0</v>
      </c>
      <c r="C108" s="4">
        <v>5.0</v>
      </c>
      <c r="D108" s="4">
        <v>21.0</v>
      </c>
      <c r="E108" s="4" t="s">
        <v>17</v>
      </c>
      <c r="F108" s="4" t="s">
        <v>18</v>
      </c>
      <c r="G108" s="4" t="s">
        <v>19</v>
      </c>
      <c r="H108" s="4">
        <v>471.0</v>
      </c>
      <c r="I108" s="4">
        <v>7295.79</v>
      </c>
      <c r="J108" s="4">
        <v>15.49</v>
      </c>
      <c r="K108" s="4" t="s">
        <v>24</v>
      </c>
      <c r="L108" s="4" t="s">
        <v>16</v>
      </c>
      <c r="M108" s="4" t="s">
        <v>43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" t="s">
        <v>46</v>
      </c>
      <c r="B109" s="4">
        <v>2023.0</v>
      </c>
      <c r="C109" s="4">
        <v>5.0</v>
      </c>
      <c r="D109" s="4">
        <v>21.0</v>
      </c>
      <c r="E109" s="4" t="s">
        <v>21</v>
      </c>
      <c r="F109" s="4" t="s">
        <v>22</v>
      </c>
      <c r="G109" s="4" t="s">
        <v>23</v>
      </c>
      <c r="H109" s="4">
        <v>260.0</v>
      </c>
      <c r="I109" s="4">
        <v>1037.4</v>
      </c>
      <c r="J109" s="4">
        <v>3.99</v>
      </c>
      <c r="K109" s="4" t="s">
        <v>16</v>
      </c>
      <c r="L109" s="4" t="s">
        <v>16</v>
      </c>
      <c r="M109" s="4" t="s">
        <v>43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 t="s">
        <v>46</v>
      </c>
      <c r="B110" s="4">
        <v>2023.0</v>
      </c>
      <c r="C110" s="4">
        <v>5.0</v>
      </c>
      <c r="D110" s="4">
        <v>21.0</v>
      </c>
      <c r="E110" s="4" t="s">
        <v>25</v>
      </c>
      <c r="F110" s="4" t="s">
        <v>26</v>
      </c>
      <c r="G110" s="4" t="s">
        <v>27</v>
      </c>
      <c r="H110" s="4">
        <v>240.0</v>
      </c>
      <c r="I110" s="4">
        <v>1077.6</v>
      </c>
      <c r="J110" s="4">
        <v>4.49</v>
      </c>
      <c r="K110" s="4" t="s">
        <v>16</v>
      </c>
      <c r="L110" s="4" t="s">
        <v>16</v>
      </c>
      <c r="M110" s="4" t="s">
        <v>43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" t="s">
        <v>46</v>
      </c>
      <c r="B111" s="4">
        <v>2023.0</v>
      </c>
      <c r="C111" s="4">
        <v>5.0</v>
      </c>
      <c r="D111" s="4">
        <v>21.0</v>
      </c>
      <c r="E111" s="4" t="s">
        <v>28</v>
      </c>
      <c r="F111" s="4" t="s">
        <v>29</v>
      </c>
      <c r="G111" s="4" t="s">
        <v>19</v>
      </c>
      <c r="H111" s="4">
        <v>199.0</v>
      </c>
      <c r="I111" s="4">
        <v>1789.01</v>
      </c>
      <c r="J111" s="4">
        <v>8.99</v>
      </c>
      <c r="K111" s="4" t="s">
        <v>16</v>
      </c>
      <c r="L111" s="4" t="s">
        <v>16</v>
      </c>
      <c r="M111" s="4" t="s">
        <v>43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>
        <v>45022.0</v>
      </c>
      <c r="B112" s="4">
        <v>2023.0</v>
      </c>
      <c r="C112" s="4">
        <v>6.0</v>
      </c>
      <c r="D112" s="4">
        <v>22.0</v>
      </c>
      <c r="E112" s="4" t="s">
        <v>13</v>
      </c>
      <c r="F112" s="4" t="s">
        <v>14</v>
      </c>
      <c r="G112" s="4" t="s">
        <v>15</v>
      </c>
      <c r="H112" s="4">
        <v>603.0</v>
      </c>
      <c r="I112" s="4">
        <v>7832.97</v>
      </c>
      <c r="J112" s="4">
        <v>12.99</v>
      </c>
      <c r="K112" s="4" t="s">
        <v>24</v>
      </c>
      <c r="L112" s="4" t="s">
        <v>16</v>
      </c>
      <c r="M112" s="4" t="s">
        <v>47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">
        <v>45022.0</v>
      </c>
      <c r="B113" s="4">
        <v>2023.0</v>
      </c>
      <c r="C113" s="4">
        <v>6.0</v>
      </c>
      <c r="D113" s="4">
        <v>22.0</v>
      </c>
      <c r="E113" s="4" t="s">
        <v>17</v>
      </c>
      <c r="F113" s="4" t="s">
        <v>18</v>
      </c>
      <c r="G113" s="4" t="s">
        <v>19</v>
      </c>
      <c r="H113" s="4">
        <v>79.0</v>
      </c>
      <c r="I113" s="4">
        <v>1223.71</v>
      </c>
      <c r="J113" s="4">
        <v>15.49</v>
      </c>
      <c r="K113" s="4" t="s">
        <v>16</v>
      </c>
      <c r="L113" s="4" t="s">
        <v>24</v>
      </c>
      <c r="M113" s="4" t="s">
        <v>47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>
        <v>45022.0</v>
      </c>
      <c r="B114" s="4">
        <v>2023.0</v>
      </c>
      <c r="C114" s="4">
        <v>6.0</v>
      </c>
      <c r="D114" s="4">
        <v>22.0</v>
      </c>
      <c r="E114" s="4" t="s">
        <v>21</v>
      </c>
      <c r="F114" s="4" t="s">
        <v>22</v>
      </c>
      <c r="G114" s="4" t="s">
        <v>23</v>
      </c>
      <c r="H114" s="4">
        <v>328.0</v>
      </c>
      <c r="I114" s="4">
        <v>1308.72</v>
      </c>
      <c r="J114" s="4">
        <v>3.99</v>
      </c>
      <c r="K114" s="4" t="s">
        <v>24</v>
      </c>
      <c r="L114" s="4" t="s">
        <v>16</v>
      </c>
      <c r="M114" s="4" t="s">
        <v>47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">
        <v>45022.0</v>
      </c>
      <c r="B115" s="4">
        <v>2023.0</v>
      </c>
      <c r="C115" s="4">
        <v>6.0</v>
      </c>
      <c r="D115" s="4">
        <v>22.0</v>
      </c>
      <c r="E115" s="4" t="s">
        <v>25</v>
      </c>
      <c r="F115" s="4" t="s">
        <v>26</v>
      </c>
      <c r="G115" s="4" t="s">
        <v>27</v>
      </c>
      <c r="H115" s="4">
        <v>197.0</v>
      </c>
      <c r="I115" s="4">
        <v>884.53</v>
      </c>
      <c r="J115" s="4">
        <v>4.49</v>
      </c>
      <c r="K115" s="4" t="s">
        <v>16</v>
      </c>
      <c r="L115" s="4" t="s">
        <v>16</v>
      </c>
      <c r="M115" s="4" t="s">
        <v>47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>
        <v>45022.0</v>
      </c>
      <c r="B116" s="4">
        <v>2023.0</v>
      </c>
      <c r="C116" s="4">
        <v>6.0</v>
      </c>
      <c r="D116" s="4">
        <v>22.0</v>
      </c>
      <c r="E116" s="4" t="s">
        <v>28</v>
      </c>
      <c r="F116" s="4" t="s">
        <v>29</v>
      </c>
      <c r="G116" s="4" t="s">
        <v>19</v>
      </c>
      <c r="H116" s="4">
        <v>247.0</v>
      </c>
      <c r="I116" s="4">
        <v>2220.53</v>
      </c>
      <c r="J116" s="4">
        <v>8.99</v>
      </c>
      <c r="K116" s="4" t="s">
        <v>16</v>
      </c>
      <c r="L116" s="4" t="s">
        <v>16</v>
      </c>
      <c r="M116" s="4" t="s">
        <v>47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">
        <v>45236.0</v>
      </c>
      <c r="B117" s="4">
        <v>2023.0</v>
      </c>
      <c r="C117" s="4">
        <v>6.0</v>
      </c>
      <c r="D117" s="4">
        <v>23.0</v>
      </c>
      <c r="E117" s="4" t="s">
        <v>13</v>
      </c>
      <c r="F117" s="4" t="s">
        <v>14</v>
      </c>
      <c r="G117" s="4" t="s">
        <v>15</v>
      </c>
      <c r="H117" s="4">
        <v>453.0</v>
      </c>
      <c r="I117" s="4">
        <v>5884.47</v>
      </c>
      <c r="J117" s="4">
        <v>12.99</v>
      </c>
      <c r="K117" s="4" t="s">
        <v>16</v>
      </c>
      <c r="L117" s="4" t="s">
        <v>16</v>
      </c>
      <c r="M117" s="4" t="s">
        <v>47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>
        <v>45236.0</v>
      </c>
      <c r="B118" s="4">
        <v>2023.0</v>
      </c>
      <c r="C118" s="4">
        <v>6.0</v>
      </c>
      <c r="D118" s="4">
        <v>23.0</v>
      </c>
      <c r="E118" s="4" t="s">
        <v>17</v>
      </c>
      <c r="F118" s="4" t="s">
        <v>18</v>
      </c>
      <c r="G118" s="4" t="s">
        <v>19</v>
      </c>
      <c r="H118" s="4">
        <v>293.0</v>
      </c>
      <c r="I118" s="4">
        <v>4538.57</v>
      </c>
      <c r="J118" s="4">
        <v>15.49</v>
      </c>
      <c r="K118" s="4" t="s">
        <v>16</v>
      </c>
      <c r="L118" s="4" t="s">
        <v>16</v>
      </c>
      <c r="M118" s="4" t="s">
        <v>47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">
        <v>45236.0</v>
      </c>
      <c r="B119" s="4">
        <v>2023.0</v>
      </c>
      <c r="C119" s="4">
        <v>6.0</v>
      </c>
      <c r="D119" s="4">
        <v>23.0</v>
      </c>
      <c r="E119" s="4" t="s">
        <v>21</v>
      </c>
      <c r="F119" s="4" t="s">
        <v>22</v>
      </c>
      <c r="G119" s="4" t="s">
        <v>23</v>
      </c>
      <c r="H119" s="4">
        <v>262.0</v>
      </c>
      <c r="I119" s="4">
        <v>1045.38</v>
      </c>
      <c r="J119" s="4">
        <v>3.99</v>
      </c>
      <c r="K119" s="4" t="s">
        <v>16</v>
      </c>
      <c r="L119" s="4" t="s">
        <v>16</v>
      </c>
      <c r="M119" s="4" t="s">
        <v>47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>
        <v>45236.0</v>
      </c>
      <c r="B120" s="4">
        <v>2023.0</v>
      </c>
      <c r="C120" s="4">
        <v>6.0</v>
      </c>
      <c r="D120" s="4">
        <v>23.0</v>
      </c>
      <c r="E120" s="4" t="s">
        <v>25</v>
      </c>
      <c r="F120" s="4" t="s">
        <v>26</v>
      </c>
      <c r="G120" s="4" t="s">
        <v>27</v>
      </c>
      <c r="H120" s="4">
        <v>169.0</v>
      </c>
      <c r="I120" s="4">
        <v>758.81</v>
      </c>
      <c r="J120" s="4">
        <v>4.49</v>
      </c>
      <c r="K120" s="4" t="s">
        <v>16</v>
      </c>
      <c r="L120" s="4" t="s">
        <v>16</v>
      </c>
      <c r="M120" s="4" t="s">
        <v>47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">
        <v>45236.0</v>
      </c>
      <c r="B121" s="4">
        <v>2023.0</v>
      </c>
      <c r="C121" s="4">
        <v>6.0</v>
      </c>
      <c r="D121" s="4">
        <v>23.0</v>
      </c>
      <c r="E121" s="4" t="s">
        <v>28</v>
      </c>
      <c r="F121" s="4" t="s">
        <v>29</v>
      </c>
      <c r="G121" s="4" t="s">
        <v>19</v>
      </c>
      <c r="H121" s="4">
        <v>360.0</v>
      </c>
      <c r="I121" s="4">
        <v>3236.4</v>
      </c>
      <c r="J121" s="4">
        <v>8.99</v>
      </c>
      <c r="K121" s="4" t="s">
        <v>24</v>
      </c>
      <c r="L121" s="4" t="s">
        <v>16</v>
      </c>
      <c r="M121" s="4" t="s">
        <v>47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 t="s">
        <v>48</v>
      </c>
      <c r="B122" s="4">
        <v>2023.0</v>
      </c>
      <c r="C122" s="4">
        <v>6.0</v>
      </c>
      <c r="D122" s="4">
        <v>24.0</v>
      </c>
      <c r="E122" s="4" t="s">
        <v>13</v>
      </c>
      <c r="F122" s="4" t="s">
        <v>14</v>
      </c>
      <c r="G122" s="4" t="s">
        <v>15</v>
      </c>
      <c r="H122" s="4">
        <v>495.0</v>
      </c>
      <c r="I122" s="4">
        <v>6430.05</v>
      </c>
      <c r="J122" s="4">
        <v>12.99</v>
      </c>
      <c r="K122" s="4" t="s">
        <v>16</v>
      </c>
      <c r="L122" s="4" t="s">
        <v>16</v>
      </c>
      <c r="M122" s="4" t="s">
        <v>47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" t="s">
        <v>48</v>
      </c>
      <c r="B123" s="4">
        <v>2023.0</v>
      </c>
      <c r="C123" s="4">
        <v>6.0</v>
      </c>
      <c r="D123" s="4">
        <v>24.0</v>
      </c>
      <c r="E123" s="4" t="s">
        <v>17</v>
      </c>
      <c r="F123" s="4" t="s">
        <v>18</v>
      </c>
      <c r="G123" s="4" t="s">
        <v>19</v>
      </c>
      <c r="H123" s="4">
        <v>88.0</v>
      </c>
      <c r="I123" s="4">
        <v>1363.12</v>
      </c>
      <c r="J123" s="4">
        <v>15.49</v>
      </c>
      <c r="K123" s="4" t="s">
        <v>16</v>
      </c>
      <c r="L123" s="4" t="s">
        <v>24</v>
      </c>
      <c r="M123" s="4" t="s">
        <v>47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 t="s">
        <v>48</v>
      </c>
      <c r="B124" s="4">
        <v>2023.0</v>
      </c>
      <c r="C124" s="4">
        <v>6.0</v>
      </c>
      <c r="D124" s="4">
        <v>24.0</v>
      </c>
      <c r="E124" s="4" t="s">
        <v>21</v>
      </c>
      <c r="F124" s="4" t="s">
        <v>22</v>
      </c>
      <c r="G124" s="4" t="s">
        <v>23</v>
      </c>
      <c r="H124" s="4">
        <v>270.0</v>
      </c>
      <c r="I124" s="4">
        <v>1077.3</v>
      </c>
      <c r="J124" s="4">
        <v>3.99</v>
      </c>
      <c r="K124" s="4" t="s">
        <v>16</v>
      </c>
      <c r="L124" s="4" t="s">
        <v>16</v>
      </c>
      <c r="M124" s="4" t="s">
        <v>47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" t="s">
        <v>48</v>
      </c>
      <c r="B125" s="4">
        <v>2023.0</v>
      </c>
      <c r="C125" s="4">
        <v>6.0</v>
      </c>
      <c r="D125" s="4">
        <v>24.0</v>
      </c>
      <c r="E125" s="4" t="s">
        <v>25</v>
      </c>
      <c r="F125" s="4" t="s">
        <v>26</v>
      </c>
      <c r="G125" s="4" t="s">
        <v>27</v>
      </c>
      <c r="H125" s="4">
        <v>171.0</v>
      </c>
      <c r="I125" s="4">
        <v>767.79</v>
      </c>
      <c r="J125" s="4">
        <v>4.49</v>
      </c>
      <c r="K125" s="4" t="s">
        <v>16</v>
      </c>
      <c r="L125" s="4" t="s">
        <v>16</v>
      </c>
      <c r="M125" s="4" t="s">
        <v>47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 t="s">
        <v>48</v>
      </c>
      <c r="B126" s="4">
        <v>2023.0</v>
      </c>
      <c r="C126" s="4">
        <v>6.0</v>
      </c>
      <c r="D126" s="4">
        <v>24.0</v>
      </c>
      <c r="E126" s="4" t="s">
        <v>28</v>
      </c>
      <c r="F126" s="4" t="s">
        <v>29</v>
      </c>
      <c r="G126" s="4" t="s">
        <v>19</v>
      </c>
      <c r="H126" s="4">
        <v>187.0</v>
      </c>
      <c r="I126" s="4">
        <v>1681.13</v>
      </c>
      <c r="J126" s="4">
        <v>8.99</v>
      </c>
      <c r="K126" s="4" t="s">
        <v>16</v>
      </c>
      <c r="L126" s="4" t="s">
        <v>16</v>
      </c>
      <c r="M126" s="4" t="s">
        <v>47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" t="s">
        <v>49</v>
      </c>
      <c r="B127" s="4">
        <v>2023.0</v>
      </c>
      <c r="C127" s="4">
        <v>6.0</v>
      </c>
      <c r="D127" s="4">
        <v>25.0</v>
      </c>
      <c r="E127" s="4" t="s">
        <v>13</v>
      </c>
      <c r="F127" s="4" t="s">
        <v>14</v>
      </c>
      <c r="G127" s="4" t="s">
        <v>15</v>
      </c>
      <c r="H127" s="4">
        <v>339.0</v>
      </c>
      <c r="I127" s="4">
        <v>4403.61</v>
      </c>
      <c r="J127" s="4">
        <v>12.99</v>
      </c>
      <c r="K127" s="4" t="s">
        <v>16</v>
      </c>
      <c r="L127" s="4" t="s">
        <v>16</v>
      </c>
      <c r="M127" s="4" t="s">
        <v>47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 t="s">
        <v>49</v>
      </c>
      <c r="B128" s="4">
        <v>2023.0</v>
      </c>
      <c r="C128" s="4">
        <v>6.0</v>
      </c>
      <c r="D128" s="4">
        <v>25.0</v>
      </c>
      <c r="E128" s="4" t="s">
        <v>17</v>
      </c>
      <c r="F128" s="4" t="s">
        <v>18</v>
      </c>
      <c r="G128" s="4" t="s">
        <v>19</v>
      </c>
      <c r="H128" s="4">
        <v>412.0</v>
      </c>
      <c r="I128" s="4">
        <v>6381.88</v>
      </c>
      <c r="J128" s="4">
        <v>15.49</v>
      </c>
      <c r="K128" s="4" t="s">
        <v>24</v>
      </c>
      <c r="L128" s="4" t="s">
        <v>16</v>
      </c>
      <c r="M128" s="4" t="s">
        <v>47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" t="s">
        <v>49</v>
      </c>
      <c r="B129" s="4">
        <v>2023.0</v>
      </c>
      <c r="C129" s="4">
        <v>6.0</v>
      </c>
      <c r="D129" s="4">
        <v>25.0</v>
      </c>
      <c r="E129" s="4" t="s">
        <v>21</v>
      </c>
      <c r="F129" s="4" t="s">
        <v>22</v>
      </c>
      <c r="G129" s="4" t="s">
        <v>23</v>
      </c>
      <c r="H129" s="4">
        <v>223.0</v>
      </c>
      <c r="I129" s="4">
        <v>889.77</v>
      </c>
      <c r="J129" s="4">
        <v>3.99</v>
      </c>
      <c r="K129" s="4" t="s">
        <v>16</v>
      </c>
      <c r="L129" s="4" t="s">
        <v>16</v>
      </c>
      <c r="M129" s="4" t="s">
        <v>47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 t="s">
        <v>49</v>
      </c>
      <c r="B130" s="4">
        <v>2023.0</v>
      </c>
      <c r="C130" s="4">
        <v>6.0</v>
      </c>
      <c r="D130" s="4">
        <v>25.0</v>
      </c>
      <c r="E130" s="4" t="s">
        <v>25</v>
      </c>
      <c r="F130" s="4" t="s">
        <v>26</v>
      </c>
      <c r="G130" s="4" t="s">
        <v>27</v>
      </c>
      <c r="H130" s="4">
        <v>215.0</v>
      </c>
      <c r="I130" s="4">
        <v>965.35</v>
      </c>
      <c r="J130" s="4">
        <v>4.49</v>
      </c>
      <c r="K130" s="4" t="s">
        <v>24</v>
      </c>
      <c r="L130" s="4" t="s">
        <v>16</v>
      </c>
      <c r="M130" s="4" t="s">
        <v>47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" t="s">
        <v>49</v>
      </c>
      <c r="B131" s="4">
        <v>2023.0</v>
      </c>
      <c r="C131" s="4">
        <v>6.0</v>
      </c>
      <c r="D131" s="4">
        <v>25.0</v>
      </c>
      <c r="E131" s="4" t="s">
        <v>28</v>
      </c>
      <c r="F131" s="4" t="s">
        <v>29</v>
      </c>
      <c r="G131" s="4" t="s">
        <v>19</v>
      </c>
      <c r="H131" s="4">
        <v>210.0</v>
      </c>
      <c r="I131" s="4">
        <v>1887.9</v>
      </c>
      <c r="J131" s="4">
        <v>8.99</v>
      </c>
      <c r="K131" s="4" t="s">
        <v>16</v>
      </c>
      <c r="L131" s="4" t="s">
        <v>16</v>
      </c>
      <c r="M131" s="4" t="s">
        <v>47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>
        <v>44964.0</v>
      </c>
      <c r="B132" s="4">
        <v>2023.0</v>
      </c>
      <c r="C132" s="4">
        <v>7.0</v>
      </c>
      <c r="D132" s="4">
        <v>26.0</v>
      </c>
      <c r="E132" s="4" t="s">
        <v>13</v>
      </c>
      <c r="F132" s="4" t="s">
        <v>14</v>
      </c>
      <c r="G132" s="4" t="s">
        <v>15</v>
      </c>
      <c r="H132" s="4">
        <v>603.0</v>
      </c>
      <c r="I132" s="4">
        <v>7832.97</v>
      </c>
      <c r="J132" s="4">
        <v>12.99</v>
      </c>
      <c r="K132" s="4" t="s">
        <v>24</v>
      </c>
      <c r="L132" s="4" t="s">
        <v>16</v>
      </c>
      <c r="M132" s="4" t="s">
        <v>50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">
        <v>44964.0</v>
      </c>
      <c r="B133" s="4">
        <v>2023.0</v>
      </c>
      <c r="C133" s="4">
        <v>7.0</v>
      </c>
      <c r="D133" s="4">
        <v>26.0</v>
      </c>
      <c r="E133" s="4" t="s">
        <v>17</v>
      </c>
      <c r="F133" s="4" t="s">
        <v>18</v>
      </c>
      <c r="G133" s="4" t="s">
        <v>19</v>
      </c>
      <c r="H133" s="4">
        <v>273.0</v>
      </c>
      <c r="I133" s="4">
        <v>4228.77</v>
      </c>
      <c r="J133" s="4">
        <v>15.49</v>
      </c>
      <c r="K133" s="4" t="s">
        <v>16</v>
      </c>
      <c r="L133" s="4" t="s">
        <v>16</v>
      </c>
      <c r="M133" s="4" t="s">
        <v>50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>
        <v>44964.0</v>
      </c>
      <c r="B134" s="4">
        <v>2023.0</v>
      </c>
      <c r="C134" s="4">
        <v>7.0</v>
      </c>
      <c r="D134" s="4">
        <v>26.0</v>
      </c>
      <c r="E134" s="4" t="s">
        <v>21</v>
      </c>
      <c r="F134" s="4" t="s">
        <v>22</v>
      </c>
      <c r="G134" s="4" t="s">
        <v>23</v>
      </c>
      <c r="H134" s="4">
        <v>202.0</v>
      </c>
      <c r="I134" s="4">
        <v>805.98</v>
      </c>
      <c r="J134" s="4">
        <v>3.99</v>
      </c>
      <c r="K134" s="4" t="s">
        <v>16</v>
      </c>
      <c r="L134" s="4" t="s">
        <v>16</v>
      </c>
      <c r="M134" s="4" t="s">
        <v>50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">
        <v>44964.0</v>
      </c>
      <c r="B135" s="4">
        <v>2023.0</v>
      </c>
      <c r="C135" s="4">
        <v>7.0</v>
      </c>
      <c r="D135" s="4">
        <v>26.0</v>
      </c>
      <c r="E135" s="4" t="s">
        <v>25</v>
      </c>
      <c r="F135" s="4" t="s">
        <v>26</v>
      </c>
      <c r="G135" s="4" t="s">
        <v>27</v>
      </c>
      <c r="H135" s="4">
        <v>138.0</v>
      </c>
      <c r="I135" s="4">
        <v>619.62</v>
      </c>
      <c r="J135" s="4">
        <v>4.49</v>
      </c>
      <c r="K135" s="4" t="s">
        <v>16</v>
      </c>
      <c r="L135" s="4" t="s">
        <v>16</v>
      </c>
      <c r="M135" s="4" t="s">
        <v>50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>
        <v>44964.0</v>
      </c>
      <c r="B136" s="4">
        <v>2023.0</v>
      </c>
      <c r="C136" s="4">
        <v>7.0</v>
      </c>
      <c r="D136" s="4">
        <v>26.0</v>
      </c>
      <c r="E136" s="4" t="s">
        <v>28</v>
      </c>
      <c r="F136" s="4" t="s">
        <v>29</v>
      </c>
      <c r="G136" s="4" t="s">
        <v>19</v>
      </c>
      <c r="H136" s="4">
        <v>197.0</v>
      </c>
      <c r="I136" s="4">
        <v>1771.03</v>
      </c>
      <c r="J136" s="4">
        <v>8.99</v>
      </c>
      <c r="K136" s="4" t="s">
        <v>16</v>
      </c>
      <c r="L136" s="4" t="s">
        <v>16</v>
      </c>
      <c r="M136" s="4" t="s">
        <v>50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">
        <v>45176.0</v>
      </c>
      <c r="B137" s="4">
        <v>2023.0</v>
      </c>
      <c r="C137" s="4">
        <v>7.0</v>
      </c>
      <c r="D137" s="4">
        <v>27.0</v>
      </c>
      <c r="E137" s="4" t="s">
        <v>13</v>
      </c>
      <c r="F137" s="4" t="s">
        <v>14</v>
      </c>
      <c r="G137" s="4" t="s">
        <v>15</v>
      </c>
      <c r="H137" s="4">
        <v>402.0</v>
      </c>
      <c r="I137" s="4">
        <v>5221.98</v>
      </c>
      <c r="J137" s="4">
        <v>12.99</v>
      </c>
      <c r="K137" s="4" t="s">
        <v>16</v>
      </c>
      <c r="L137" s="4" t="s">
        <v>16</v>
      </c>
      <c r="M137" s="4" t="s">
        <v>50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>
        <v>45176.0</v>
      </c>
      <c r="B138" s="4">
        <v>2023.0</v>
      </c>
      <c r="C138" s="4">
        <v>7.0</v>
      </c>
      <c r="D138" s="4">
        <v>27.0</v>
      </c>
      <c r="E138" s="4" t="s">
        <v>17</v>
      </c>
      <c r="F138" s="4" t="s">
        <v>18</v>
      </c>
      <c r="G138" s="4" t="s">
        <v>19</v>
      </c>
      <c r="H138" s="4">
        <v>412.0</v>
      </c>
      <c r="I138" s="4">
        <v>6381.88</v>
      </c>
      <c r="J138" s="4">
        <v>15.49</v>
      </c>
      <c r="K138" s="4" t="s">
        <v>24</v>
      </c>
      <c r="L138" s="4" t="s">
        <v>16</v>
      </c>
      <c r="M138" s="4" t="s">
        <v>50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">
        <v>45176.0</v>
      </c>
      <c r="B139" s="4">
        <v>2023.0</v>
      </c>
      <c r="C139" s="4">
        <v>7.0</v>
      </c>
      <c r="D139" s="4">
        <v>27.0</v>
      </c>
      <c r="E139" s="4" t="s">
        <v>21</v>
      </c>
      <c r="F139" s="4" t="s">
        <v>22</v>
      </c>
      <c r="G139" s="4" t="s">
        <v>23</v>
      </c>
      <c r="H139" s="4">
        <v>307.0</v>
      </c>
      <c r="I139" s="4">
        <v>1224.93</v>
      </c>
      <c r="J139" s="4">
        <v>3.99</v>
      </c>
      <c r="K139" s="4" t="s">
        <v>24</v>
      </c>
      <c r="L139" s="4" t="s">
        <v>16</v>
      </c>
      <c r="M139" s="4" t="s">
        <v>50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>
        <v>45176.0</v>
      </c>
      <c r="B140" s="4">
        <v>2023.0</v>
      </c>
      <c r="C140" s="4">
        <v>7.0</v>
      </c>
      <c r="D140" s="4">
        <v>27.0</v>
      </c>
      <c r="E140" s="4" t="s">
        <v>25</v>
      </c>
      <c r="F140" s="4" t="s">
        <v>26</v>
      </c>
      <c r="G140" s="4" t="s">
        <v>27</v>
      </c>
      <c r="H140" s="4">
        <v>184.0</v>
      </c>
      <c r="I140" s="4">
        <v>826.16</v>
      </c>
      <c r="J140" s="4">
        <v>4.49</v>
      </c>
      <c r="K140" s="4" t="s">
        <v>16</v>
      </c>
      <c r="L140" s="4" t="s">
        <v>16</v>
      </c>
      <c r="M140" s="4" t="s">
        <v>50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">
        <v>45176.0</v>
      </c>
      <c r="B141" s="4">
        <v>2023.0</v>
      </c>
      <c r="C141" s="4">
        <v>7.0</v>
      </c>
      <c r="D141" s="4">
        <v>27.0</v>
      </c>
      <c r="E141" s="4" t="s">
        <v>28</v>
      </c>
      <c r="F141" s="4" t="s">
        <v>29</v>
      </c>
      <c r="G141" s="4" t="s">
        <v>19</v>
      </c>
      <c r="H141" s="4">
        <v>194.0</v>
      </c>
      <c r="I141" s="4">
        <v>1744.06</v>
      </c>
      <c r="J141" s="4">
        <v>8.99</v>
      </c>
      <c r="K141" s="4" t="s">
        <v>16</v>
      </c>
      <c r="L141" s="4" t="s">
        <v>16</v>
      </c>
      <c r="M141" s="4" t="s">
        <v>50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 t="s">
        <v>51</v>
      </c>
      <c r="B142" s="4">
        <v>2023.0</v>
      </c>
      <c r="C142" s="4">
        <v>7.0</v>
      </c>
      <c r="D142" s="4">
        <v>28.0</v>
      </c>
      <c r="E142" s="4" t="s">
        <v>13</v>
      </c>
      <c r="F142" s="4" t="s">
        <v>14</v>
      </c>
      <c r="G142" s="4" t="s">
        <v>15</v>
      </c>
      <c r="H142" s="4">
        <v>459.0</v>
      </c>
      <c r="I142" s="4">
        <v>5962.41</v>
      </c>
      <c r="J142" s="4">
        <v>12.99</v>
      </c>
      <c r="K142" s="4" t="s">
        <v>16</v>
      </c>
      <c r="L142" s="4" t="s">
        <v>16</v>
      </c>
      <c r="M142" s="4" t="s">
        <v>50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" t="s">
        <v>51</v>
      </c>
      <c r="B143" s="4">
        <v>2023.0</v>
      </c>
      <c r="C143" s="4">
        <v>7.0</v>
      </c>
      <c r="D143" s="4">
        <v>28.0</v>
      </c>
      <c r="E143" s="4" t="s">
        <v>17</v>
      </c>
      <c r="F143" s="4" t="s">
        <v>18</v>
      </c>
      <c r="G143" s="4" t="s">
        <v>19</v>
      </c>
      <c r="H143" s="4">
        <v>389.0</v>
      </c>
      <c r="I143" s="4">
        <v>6025.61</v>
      </c>
      <c r="J143" s="4">
        <v>15.49</v>
      </c>
      <c r="K143" s="4" t="s">
        <v>24</v>
      </c>
      <c r="L143" s="4" t="s">
        <v>16</v>
      </c>
      <c r="M143" s="4" t="s">
        <v>50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 t="s">
        <v>51</v>
      </c>
      <c r="B144" s="4">
        <v>2023.0</v>
      </c>
      <c r="C144" s="4">
        <v>7.0</v>
      </c>
      <c r="D144" s="4">
        <v>28.0</v>
      </c>
      <c r="E144" s="4" t="s">
        <v>21</v>
      </c>
      <c r="F144" s="4" t="s">
        <v>22</v>
      </c>
      <c r="G144" s="4" t="s">
        <v>23</v>
      </c>
      <c r="H144" s="4">
        <v>374.0</v>
      </c>
      <c r="I144" s="4">
        <v>1492.26</v>
      </c>
      <c r="J144" s="4">
        <v>3.99</v>
      </c>
      <c r="K144" s="4" t="s">
        <v>24</v>
      </c>
      <c r="L144" s="4" t="s">
        <v>16</v>
      </c>
      <c r="M144" s="4" t="s">
        <v>50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" t="s">
        <v>51</v>
      </c>
      <c r="B145" s="4">
        <v>2023.0</v>
      </c>
      <c r="C145" s="4">
        <v>7.0</v>
      </c>
      <c r="D145" s="4">
        <v>28.0</v>
      </c>
      <c r="E145" s="4" t="s">
        <v>25</v>
      </c>
      <c r="F145" s="4" t="s">
        <v>26</v>
      </c>
      <c r="G145" s="4" t="s">
        <v>27</v>
      </c>
      <c r="H145" s="4">
        <v>176.0</v>
      </c>
      <c r="I145" s="4">
        <v>790.24</v>
      </c>
      <c r="J145" s="4">
        <v>4.49</v>
      </c>
      <c r="K145" s="4" t="s">
        <v>16</v>
      </c>
      <c r="L145" s="4" t="s">
        <v>16</v>
      </c>
      <c r="M145" s="4" t="s">
        <v>50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 t="s">
        <v>51</v>
      </c>
      <c r="B146" s="4">
        <v>2023.0</v>
      </c>
      <c r="C146" s="4">
        <v>7.0</v>
      </c>
      <c r="D146" s="4">
        <v>28.0</v>
      </c>
      <c r="E146" s="4" t="s">
        <v>28</v>
      </c>
      <c r="F146" s="4" t="s">
        <v>29</v>
      </c>
      <c r="G146" s="4" t="s">
        <v>19</v>
      </c>
      <c r="H146" s="4">
        <v>270.0</v>
      </c>
      <c r="I146" s="4">
        <v>2427.3</v>
      </c>
      <c r="J146" s="4">
        <v>8.99</v>
      </c>
      <c r="K146" s="4" t="s">
        <v>16</v>
      </c>
      <c r="L146" s="4" t="s">
        <v>16</v>
      </c>
      <c r="M146" s="4" t="s">
        <v>50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" t="s">
        <v>52</v>
      </c>
      <c r="B147" s="4">
        <v>2023.0</v>
      </c>
      <c r="C147" s="4">
        <v>7.0</v>
      </c>
      <c r="D147" s="4">
        <v>29.0</v>
      </c>
      <c r="E147" s="4" t="s">
        <v>13</v>
      </c>
      <c r="F147" s="4" t="s">
        <v>14</v>
      </c>
      <c r="G147" s="4" t="s">
        <v>15</v>
      </c>
      <c r="H147" s="4">
        <v>476.0</v>
      </c>
      <c r="I147" s="4">
        <v>6183.24</v>
      </c>
      <c r="J147" s="4">
        <v>12.99</v>
      </c>
      <c r="K147" s="4" t="s">
        <v>16</v>
      </c>
      <c r="L147" s="4" t="s">
        <v>16</v>
      </c>
      <c r="M147" s="4" t="s">
        <v>50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 t="s">
        <v>52</v>
      </c>
      <c r="B148" s="4">
        <v>2023.0</v>
      </c>
      <c r="C148" s="4">
        <v>7.0</v>
      </c>
      <c r="D148" s="4">
        <v>29.0</v>
      </c>
      <c r="E148" s="4" t="s">
        <v>17</v>
      </c>
      <c r="F148" s="4" t="s">
        <v>18</v>
      </c>
      <c r="G148" s="4" t="s">
        <v>19</v>
      </c>
      <c r="H148" s="4">
        <v>393.0</v>
      </c>
      <c r="I148" s="4">
        <v>6087.57</v>
      </c>
      <c r="J148" s="4">
        <v>15.49</v>
      </c>
      <c r="K148" s="4" t="s">
        <v>16</v>
      </c>
      <c r="L148" s="4" t="s">
        <v>16</v>
      </c>
      <c r="M148" s="4" t="s">
        <v>50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" t="s">
        <v>52</v>
      </c>
      <c r="B149" s="4">
        <v>2023.0</v>
      </c>
      <c r="C149" s="4">
        <v>7.0</v>
      </c>
      <c r="D149" s="4">
        <v>29.0</v>
      </c>
      <c r="E149" s="4" t="s">
        <v>21</v>
      </c>
      <c r="F149" s="4" t="s">
        <v>22</v>
      </c>
      <c r="G149" s="4" t="s">
        <v>23</v>
      </c>
      <c r="H149" s="4">
        <v>227.0</v>
      </c>
      <c r="I149" s="4">
        <v>905.73</v>
      </c>
      <c r="J149" s="4">
        <v>3.99</v>
      </c>
      <c r="K149" s="4" t="s">
        <v>16</v>
      </c>
      <c r="L149" s="4" t="s">
        <v>16</v>
      </c>
      <c r="M149" s="4" t="s">
        <v>50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 t="s">
        <v>52</v>
      </c>
      <c r="B150" s="4">
        <v>2023.0</v>
      </c>
      <c r="C150" s="4">
        <v>7.0</v>
      </c>
      <c r="D150" s="4">
        <v>29.0</v>
      </c>
      <c r="E150" s="4" t="s">
        <v>25</v>
      </c>
      <c r="F150" s="4" t="s">
        <v>26</v>
      </c>
      <c r="G150" s="4" t="s">
        <v>27</v>
      </c>
      <c r="H150" s="4">
        <v>155.0</v>
      </c>
      <c r="I150" s="4">
        <v>695.95</v>
      </c>
      <c r="J150" s="4">
        <v>4.49</v>
      </c>
      <c r="K150" s="4" t="s">
        <v>16</v>
      </c>
      <c r="L150" s="4" t="s">
        <v>16</v>
      </c>
      <c r="M150" s="4" t="s">
        <v>50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" t="s">
        <v>52</v>
      </c>
      <c r="B151" s="4">
        <v>2023.0</v>
      </c>
      <c r="C151" s="4">
        <v>7.0</v>
      </c>
      <c r="D151" s="4">
        <v>29.0</v>
      </c>
      <c r="E151" s="4" t="s">
        <v>28</v>
      </c>
      <c r="F151" s="4" t="s">
        <v>29</v>
      </c>
      <c r="G151" s="4" t="s">
        <v>19</v>
      </c>
      <c r="H151" s="4">
        <v>227.0</v>
      </c>
      <c r="I151" s="4">
        <v>2040.73</v>
      </c>
      <c r="J151" s="4">
        <v>8.99</v>
      </c>
      <c r="K151" s="4" t="s">
        <v>16</v>
      </c>
      <c r="L151" s="4" t="s">
        <v>16</v>
      </c>
      <c r="M151" s="4" t="s">
        <v>50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 t="s">
        <v>53</v>
      </c>
      <c r="B152" s="4">
        <v>2023.0</v>
      </c>
      <c r="C152" s="4">
        <v>7.0</v>
      </c>
      <c r="D152" s="4">
        <v>30.0</v>
      </c>
      <c r="E152" s="4" t="s">
        <v>13</v>
      </c>
      <c r="F152" s="4" t="s">
        <v>14</v>
      </c>
      <c r="G152" s="4" t="s">
        <v>15</v>
      </c>
      <c r="H152" s="4">
        <v>476.0</v>
      </c>
      <c r="I152" s="4">
        <v>6183.24</v>
      </c>
      <c r="J152" s="4">
        <v>12.99</v>
      </c>
      <c r="K152" s="4" t="s">
        <v>16</v>
      </c>
      <c r="L152" s="4" t="s">
        <v>16</v>
      </c>
      <c r="M152" s="4" t="s">
        <v>50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" t="s">
        <v>53</v>
      </c>
      <c r="B153" s="4">
        <v>2023.0</v>
      </c>
      <c r="C153" s="4">
        <v>7.0</v>
      </c>
      <c r="D153" s="4">
        <v>30.0</v>
      </c>
      <c r="E153" s="4" t="s">
        <v>17</v>
      </c>
      <c r="F153" s="4" t="s">
        <v>18</v>
      </c>
      <c r="G153" s="4" t="s">
        <v>19</v>
      </c>
      <c r="H153" s="4">
        <v>270.0</v>
      </c>
      <c r="I153" s="4">
        <v>4182.3</v>
      </c>
      <c r="J153" s="4">
        <v>15.49</v>
      </c>
      <c r="K153" s="4" t="s">
        <v>16</v>
      </c>
      <c r="L153" s="4" t="s">
        <v>16</v>
      </c>
      <c r="M153" s="4" t="s">
        <v>50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 t="s">
        <v>53</v>
      </c>
      <c r="B154" s="4">
        <v>2023.0</v>
      </c>
      <c r="C154" s="4">
        <v>7.0</v>
      </c>
      <c r="D154" s="4">
        <v>30.0</v>
      </c>
      <c r="E154" s="4" t="s">
        <v>21</v>
      </c>
      <c r="F154" s="4" t="s">
        <v>22</v>
      </c>
      <c r="G154" s="4" t="s">
        <v>23</v>
      </c>
      <c r="H154" s="4">
        <v>208.0</v>
      </c>
      <c r="I154" s="4">
        <v>829.92</v>
      </c>
      <c r="J154" s="4">
        <v>3.99</v>
      </c>
      <c r="K154" s="4" t="s">
        <v>16</v>
      </c>
      <c r="L154" s="4" t="s">
        <v>16</v>
      </c>
      <c r="M154" s="4" t="s">
        <v>50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" t="s">
        <v>53</v>
      </c>
      <c r="B155" s="4">
        <v>2023.0</v>
      </c>
      <c r="C155" s="4">
        <v>7.0</v>
      </c>
      <c r="D155" s="4">
        <v>30.0</v>
      </c>
      <c r="E155" s="4" t="s">
        <v>25</v>
      </c>
      <c r="F155" s="4" t="s">
        <v>26</v>
      </c>
      <c r="G155" s="4" t="s">
        <v>27</v>
      </c>
      <c r="H155" s="4">
        <v>94.0</v>
      </c>
      <c r="I155" s="4">
        <v>422.06</v>
      </c>
      <c r="J155" s="4">
        <v>4.49</v>
      </c>
      <c r="K155" s="4" t="s">
        <v>24</v>
      </c>
      <c r="L155" s="4" t="s">
        <v>24</v>
      </c>
      <c r="M155" s="4" t="s">
        <v>50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 t="s">
        <v>53</v>
      </c>
      <c r="B156" s="4">
        <v>2023.0</v>
      </c>
      <c r="C156" s="4">
        <v>7.0</v>
      </c>
      <c r="D156" s="4">
        <v>30.0</v>
      </c>
      <c r="E156" s="4" t="s">
        <v>28</v>
      </c>
      <c r="F156" s="4" t="s">
        <v>29</v>
      </c>
      <c r="G156" s="4" t="s">
        <v>19</v>
      </c>
      <c r="H156" s="4">
        <v>261.0</v>
      </c>
      <c r="I156" s="4">
        <v>2346.39</v>
      </c>
      <c r="J156" s="4">
        <v>8.99</v>
      </c>
      <c r="K156" s="4" t="s">
        <v>16</v>
      </c>
      <c r="L156" s="4" t="s">
        <v>16</v>
      </c>
      <c r="M156" s="4" t="s">
        <v>50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">
        <v>45085.0</v>
      </c>
      <c r="B157" s="4">
        <v>2023.0</v>
      </c>
      <c r="C157" s="4">
        <v>8.0</v>
      </c>
      <c r="D157" s="4">
        <v>31.0</v>
      </c>
      <c r="E157" s="4" t="s">
        <v>13</v>
      </c>
      <c r="F157" s="4" t="s">
        <v>14</v>
      </c>
      <c r="G157" s="4" t="s">
        <v>15</v>
      </c>
      <c r="H157" s="4">
        <v>431.0</v>
      </c>
      <c r="I157" s="4">
        <v>5598.69</v>
      </c>
      <c r="J157" s="4">
        <v>12.99</v>
      </c>
      <c r="K157" s="4" t="s">
        <v>16</v>
      </c>
      <c r="L157" s="4" t="s">
        <v>16</v>
      </c>
      <c r="M157" s="4" t="s">
        <v>54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>
        <v>45085.0</v>
      </c>
      <c r="B158" s="4">
        <v>2023.0</v>
      </c>
      <c r="C158" s="4">
        <v>8.0</v>
      </c>
      <c r="D158" s="4">
        <v>31.0</v>
      </c>
      <c r="E158" s="4" t="s">
        <v>17</v>
      </c>
      <c r="F158" s="4" t="s">
        <v>18</v>
      </c>
      <c r="G158" s="4" t="s">
        <v>19</v>
      </c>
      <c r="H158" s="4">
        <v>324.0</v>
      </c>
      <c r="I158" s="4">
        <v>5018.76</v>
      </c>
      <c r="J158" s="4">
        <v>15.49</v>
      </c>
      <c r="K158" s="4" t="s">
        <v>16</v>
      </c>
      <c r="L158" s="4" t="s">
        <v>16</v>
      </c>
      <c r="M158" s="4" t="s">
        <v>54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">
        <v>45085.0</v>
      </c>
      <c r="B159" s="4">
        <v>2023.0</v>
      </c>
      <c r="C159" s="4">
        <v>8.0</v>
      </c>
      <c r="D159" s="4">
        <v>31.0</v>
      </c>
      <c r="E159" s="4" t="s">
        <v>21</v>
      </c>
      <c r="F159" s="4" t="s">
        <v>22</v>
      </c>
      <c r="G159" s="4" t="s">
        <v>23</v>
      </c>
      <c r="H159" s="4">
        <v>479.0</v>
      </c>
      <c r="I159" s="4">
        <v>1911.21</v>
      </c>
      <c r="J159" s="4">
        <v>3.99</v>
      </c>
      <c r="K159" s="4" t="s">
        <v>24</v>
      </c>
      <c r="L159" s="4" t="s">
        <v>16</v>
      </c>
      <c r="M159" s="4" t="s">
        <v>54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>
        <v>45085.0</v>
      </c>
      <c r="B160" s="4">
        <v>2023.0</v>
      </c>
      <c r="C160" s="4">
        <v>8.0</v>
      </c>
      <c r="D160" s="4">
        <v>31.0</v>
      </c>
      <c r="E160" s="4" t="s">
        <v>25</v>
      </c>
      <c r="F160" s="4" t="s">
        <v>26</v>
      </c>
      <c r="G160" s="4" t="s">
        <v>27</v>
      </c>
      <c r="H160" s="4">
        <v>196.0</v>
      </c>
      <c r="I160" s="4">
        <v>880.04</v>
      </c>
      <c r="J160" s="4">
        <v>4.49</v>
      </c>
      <c r="K160" s="4" t="s">
        <v>16</v>
      </c>
      <c r="L160" s="4" t="s">
        <v>16</v>
      </c>
      <c r="M160" s="4" t="s">
        <v>54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">
        <v>45085.0</v>
      </c>
      <c r="B161" s="4">
        <v>2023.0</v>
      </c>
      <c r="C161" s="4">
        <v>8.0</v>
      </c>
      <c r="D161" s="4">
        <v>31.0</v>
      </c>
      <c r="E161" s="4" t="s">
        <v>28</v>
      </c>
      <c r="F161" s="4" t="s">
        <v>29</v>
      </c>
      <c r="G161" s="4" t="s">
        <v>19</v>
      </c>
      <c r="H161" s="4">
        <v>249.0</v>
      </c>
      <c r="I161" s="4">
        <v>2238.51</v>
      </c>
      <c r="J161" s="4">
        <v>8.99</v>
      </c>
      <c r="K161" s="4" t="s">
        <v>16</v>
      </c>
      <c r="L161" s="4" t="s">
        <v>16</v>
      </c>
      <c r="M161" s="4" t="s">
        <v>54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 t="s">
        <v>55</v>
      </c>
      <c r="B162" s="4">
        <v>2023.0</v>
      </c>
      <c r="C162" s="4">
        <v>8.0</v>
      </c>
      <c r="D162" s="4">
        <v>32.0</v>
      </c>
      <c r="E162" s="4" t="s">
        <v>13</v>
      </c>
      <c r="F162" s="4" t="s">
        <v>14</v>
      </c>
      <c r="G162" s="4" t="s">
        <v>15</v>
      </c>
      <c r="H162" s="4">
        <v>390.0</v>
      </c>
      <c r="I162" s="4">
        <v>5066.1</v>
      </c>
      <c r="J162" s="4">
        <v>12.99</v>
      </c>
      <c r="K162" s="4" t="s">
        <v>16</v>
      </c>
      <c r="L162" s="4" t="s">
        <v>16</v>
      </c>
      <c r="M162" s="4" t="s">
        <v>54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" t="s">
        <v>55</v>
      </c>
      <c r="B163" s="4">
        <v>2023.0</v>
      </c>
      <c r="C163" s="4">
        <v>8.0</v>
      </c>
      <c r="D163" s="4">
        <v>32.0</v>
      </c>
      <c r="E163" s="4" t="s">
        <v>17</v>
      </c>
      <c r="F163" s="4" t="s">
        <v>18</v>
      </c>
      <c r="G163" s="4" t="s">
        <v>19</v>
      </c>
      <c r="H163" s="4">
        <v>323.0</v>
      </c>
      <c r="I163" s="4">
        <v>5003.27</v>
      </c>
      <c r="J163" s="4">
        <v>15.49</v>
      </c>
      <c r="K163" s="4" t="s">
        <v>16</v>
      </c>
      <c r="L163" s="4" t="s">
        <v>16</v>
      </c>
      <c r="M163" s="4" t="s">
        <v>54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 t="s">
        <v>55</v>
      </c>
      <c r="B164" s="4">
        <v>2023.0</v>
      </c>
      <c r="C164" s="4">
        <v>8.0</v>
      </c>
      <c r="D164" s="4">
        <v>32.0</v>
      </c>
      <c r="E164" s="4" t="s">
        <v>21</v>
      </c>
      <c r="F164" s="4" t="s">
        <v>22</v>
      </c>
      <c r="G164" s="4" t="s">
        <v>23</v>
      </c>
      <c r="H164" s="4">
        <v>311.0</v>
      </c>
      <c r="I164" s="4">
        <v>1240.89</v>
      </c>
      <c r="J164" s="4">
        <v>3.99</v>
      </c>
      <c r="K164" s="4" t="s">
        <v>24</v>
      </c>
      <c r="L164" s="4" t="s">
        <v>16</v>
      </c>
      <c r="M164" s="4" t="s">
        <v>54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" t="s">
        <v>55</v>
      </c>
      <c r="B165" s="4">
        <v>2023.0</v>
      </c>
      <c r="C165" s="4">
        <v>8.0</v>
      </c>
      <c r="D165" s="4">
        <v>32.0</v>
      </c>
      <c r="E165" s="4" t="s">
        <v>25</v>
      </c>
      <c r="F165" s="4" t="s">
        <v>26</v>
      </c>
      <c r="G165" s="4" t="s">
        <v>27</v>
      </c>
      <c r="H165" s="4">
        <v>233.0</v>
      </c>
      <c r="I165" s="4">
        <v>1046.17</v>
      </c>
      <c r="J165" s="4">
        <v>4.49</v>
      </c>
      <c r="K165" s="4" t="s">
        <v>16</v>
      </c>
      <c r="L165" s="4" t="s">
        <v>16</v>
      </c>
      <c r="M165" s="4" t="s">
        <v>54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 t="s">
        <v>55</v>
      </c>
      <c r="B166" s="4">
        <v>2023.0</v>
      </c>
      <c r="C166" s="4">
        <v>8.0</v>
      </c>
      <c r="D166" s="4">
        <v>32.0</v>
      </c>
      <c r="E166" s="4" t="s">
        <v>28</v>
      </c>
      <c r="F166" s="4" t="s">
        <v>29</v>
      </c>
      <c r="G166" s="4" t="s">
        <v>19</v>
      </c>
      <c r="H166" s="4">
        <v>291.0</v>
      </c>
      <c r="I166" s="4">
        <v>2616.09</v>
      </c>
      <c r="J166" s="4">
        <v>8.99</v>
      </c>
      <c r="K166" s="4" t="s">
        <v>16</v>
      </c>
      <c r="L166" s="4" t="s">
        <v>16</v>
      </c>
      <c r="M166" s="4" t="s">
        <v>54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" t="s">
        <v>56</v>
      </c>
      <c r="B167" s="4">
        <v>2023.0</v>
      </c>
      <c r="C167" s="4">
        <v>8.0</v>
      </c>
      <c r="D167" s="4">
        <v>33.0</v>
      </c>
      <c r="E167" s="4" t="s">
        <v>13</v>
      </c>
      <c r="F167" s="4" t="s">
        <v>14</v>
      </c>
      <c r="G167" s="4" t="s">
        <v>15</v>
      </c>
      <c r="H167" s="4">
        <v>469.0</v>
      </c>
      <c r="I167" s="4">
        <v>6092.31</v>
      </c>
      <c r="J167" s="4">
        <v>12.99</v>
      </c>
      <c r="K167" s="4" t="s">
        <v>16</v>
      </c>
      <c r="L167" s="4" t="s">
        <v>16</v>
      </c>
      <c r="M167" s="4" t="s">
        <v>54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 t="s">
        <v>56</v>
      </c>
      <c r="B168" s="4">
        <v>2023.0</v>
      </c>
      <c r="C168" s="4">
        <v>8.0</v>
      </c>
      <c r="D168" s="4">
        <v>33.0</v>
      </c>
      <c r="E168" s="4" t="s">
        <v>17</v>
      </c>
      <c r="F168" s="4" t="s">
        <v>18</v>
      </c>
      <c r="G168" s="4" t="s">
        <v>19</v>
      </c>
      <c r="H168" s="4">
        <v>362.0</v>
      </c>
      <c r="I168" s="4">
        <v>5607.38</v>
      </c>
      <c r="J168" s="4">
        <v>15.49</v>
      </c>
      <c r="K168" s="4" t="s">
        <v>16</v>
      </c>
      <c r="L168" s="4" t="s">
        <v>16</v>
      </c>
      <c r="M168" s="4" t="s">
        <v>54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" t="s">
        <v>56</v>
      </c>
      <c r="B169" s="4">
        <v>2023.0</v>
      </c>
      <c r="C169" s="4">
        <v>8.0</v>
      </c>
      <c r="D169" s="4">
        <v>33.0</v>
      </c>
      <c r="E169" s="4" t="s">
        <v>21</v>
      </c>
      <c r="F169" s="4" t="s">
        <v>22</v>
      </c>
      <c r="G169" s="4" t="s">
        <v>23</v>
      </c>
      <c r="H169" s="4">
        <v>146.0</v>
      </c>
      <c r="I169" s="4">
        <v>582.54</v>
      </c>
      <c r="J169" s="4">
        <v>3.99</v>
      </c>
      <c r="K169" s="4" t="s">
        <v>24</v>
      </c>
      <c r="L169" s="4" t="s">
        <v>24</v>
      </c>
      <c r="M169" s="4" t="s">
        <v>54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 t="s">
        <v>56</v>
      </c>
      <c r="B170" s="4">
        <v>2023.0</v>
      </c>
      <c r="C170" s="4">
        <v>8.0</v>
      </c>
      <c r="D170" s="4">
        <v>33.0</v>
      </c>
      <c r="E170" s="4" t="s">
        <v>25</v>
      </c>
      <c r="F170" s="4" t="s">
        <v>26</v>
      </c>
      <c r="G170" s="4" t="s">
        <v>27</v>
      </c>
      <c r="H170" s="4">
        <v>227.0</v>
      </c>
      <c r="I170" s="4">
        <v>1019.23</v>
      </c>
      <c r="J170" s="4">
        <v>4.49</v>
      </c>
      <c r="K170" s="4" t="s">
        <v>16</v>
      </c>
      <c r="L170" s="4" t="s">
        <v>16</v>
      </c>
      <c r="M170" s="4" t="s">
        <v>54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" t="s">
        <v>56</v>
      </c>
      <c r="B171" s="4">
        <v>2023.0</v>
      </c>
      <c r="C171" s="4">
        <v>8.0</v>
      </c>
      <c r="D171" s="4">
        <v>33.0</v>
      </c>
      <c r="E171" s="4" t="s">
        <v>28</v>
      </c>
      <c r="F171" s="4" t="s">
        <v>29</v>
      </c>
      <c r="G171" s="4" t="s">
        <v>19</v>
      </c>
      <c r="H171" s="4">
        <v>182.0</v>
      </c>
      <c r="I171" s="4">
        <v>1636.18</v>
      </c>
      <c r="J171" s="4">
        <v>8.99</v>
      </c>
      <c r="K171" s="4" t="s">
        <v>16</v>
      </c>
      <c r="L171" s="4" t="s">
        <v>16</v>
      </c>
      <c r="M171" s="4" t="s">
        <v>54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 t="s">
        <v>57</v>
      </c>
      <c r="B172" s="4">
        <v>2023.0</v>
      </c>
      <c r="C172" s="4">
        <v>8.0</v>
      </c>
      <c r="D172" s="4">
        <v>34.0</v>
      </c>
      <c r="E172" s="4" t="s">
        <v>13</v>
      </c>
      <c r="F172" s="4" t="s">
        <v>14</v>
      </c>
      <c r="G172" s="4" t="s">
        <v>15</v>
      </c>
      <c r="H172" s="4">
        <v>570.0</v>
      </c>
      <c r="I172" s="4">
        <v>7404.3</v>
      </c>
      <c r="J172" s="4">
        <v>12.99</v>
      </c>
      <c r="K172" s="4" t="s">
        <v>16</v>
      </c>
      <c r="L172" s="4" t="s">
        <v>16</v>
      </c>
      <c r="M172" s="4" t="s">
        <v>54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" t="s">
        <v>57</v>
      </c>
      <c r="B173" s="4">
        <v>2023.0</v>
      </c>
      <c r="C173" s="4">
        <v>8.0</v>
      </c>
      <c r="D173" s="4">
        <v>34.0</v>
      </c>
      <c r="E173" s="4" t="s">
        <v>17</v>
      </c>
      <c r="F173" s="4" t="s">
        <v>18</v>
      </c>
      <c r="G173" s="4" t="s">
        <v>19</v>
      </c>
      <c r="H173" s="4">
        <v>334.0</v>
      </c>
      <c r="I173" s="4">
        <v>5173.66</v>
      </c>
      <c r="J173" s="4">
        <v>15.49</v>
      </c>
      <c r="K173" s="4" t="s">
        <v>16</v>
      </c>
      <c r="L173" s="4" t="s">
        <v>16</v>
      </c>
      <c r="M173" s="4" t="s">
        <v>54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 t="s">
        <v>57</v>
      </c>
      <c r="B174" s="4">
        <v>2023.0</v>
      </c>
      <c r="C174" s="4">
        <v>8.0</v>
      </c>
      <c r="D174" s="4">
        <v>34.0</v>
      </c>
      <c r="E174" s="4" t="s">
        <v>21</v>
      </c>
      <c r="F174" s="4" t="s">
        <v>22</v>
      </c>
      <c r="G174" s="4" t="s">
        <v>23</v>
      </c>
      <c r="H174" s="4">
        <v>215.0</v>
      </c>
      <c r="I174" s="4">
        <v>857.85</v>
      </c>
      <c r="J174" s="4">
        <v>3.99</v>
      </c>
      <c r="K174" s="4" t="s">
        <v>16</v>
      </c>
      <c r="L174" s="4" t="s">
        <v>16</v>
      </c>
      <c r="M174" s="4" t="s">
        <v>54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" t="s">
        <v>57</v>
      </c>
      <c r="B175" s="4">
        <v>2023.0</v>
      </c>
      <c r="C175" s="4">
        <v>8.0</v>
      </c>
      <c r="D175" s="4">
        <v>34.0</v>
      </c>
      <c r="E175" s="4" t="s">
        <v>25</v>
      </c>
      <c r="F175" s="4" t="s">
        <v>26</v>
      </c>
      <c r="G175" s="4" t="s">
        <v>27</v>
      </c>
      <c r="H175" s="4">
        <v>194.0</v>
      </c>
      <c r="I175" s="4">
        <v>871.06</v>
      </c>
      <c r="J175" s="4">
        <v>4.49</v>
      </c>
      <c r="K175" s="4" t="s">
        <v>16</v>
      </c>
      <c r="L175" s="4" t="s">
        <v>16</v>
      </c>
      <c r="M175" s="4" t="s">
        <v>54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 t="s">
        <v>57</v>
      </c>
      <c r="B176" s="4">
        <v>2023.0</v>
      </c>
      <c r="C176" s="4">
        <v>8.0</v>
      </c>
      <c r="D176" s="4">
        <v>34.0</v>
      </c>
      <c r="E176" s="4" t="s">
        <v>28</v>
      </c>
      <c r="F176" s="4" t="s">
        <v>29</v>
      </c>
      <c r="G176" s="4" t="s">
        <v>19</v>
      </c>
      <c r="H176" s="4">
        <v>279.0</v>
      </c>
      <c r="I176" s="4">
        <v>2508.21</v>
      </c>
      <c r="J176" s="4">
        <v>8.99</v>
      </c>
      <c r="K176" s="4" t="s">
        <v>24</v>
      </c>
      <c r="L176" s="4" t="s">
        <v>16</v>
      </c>
      <c r="M176" s="4" t="s">
        <v>54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">
        <v>44994.0</v>
      </c>
      <c r="B177" s="4">
        <v>2023.0</v>
      </c>
      <c r="C177" s="4">
        <v>9.0</v>
      </c>
      <c r="D177" s="4">
        <v>35.0</v>
      </c>
      <c r="E177" s="4" t="s">
        <v>13</v>
      </c>
      <c r="F177" s="4" t="s">
        <v>14</v>
      </c>
      <c r="G177" s="4" t="s">
        <v>15</v>
      </c>
      <c r="H177" s="4">
        <v>717.0</v>
      </c>
      <c r="I177" s="4">
        <v>9313.83</v>
      </c>
      <c r="J177" s="4">
        <v>12.99</v>
      </c>
      <c r="K177" s="4" t="s">
        <v>24</v>
      </c>
      <c r="L177" s="4" t="s">
        <v>16</v>
      </c>
      <c r="M177" s="4" t="s">
        <v>58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>
        <v>44994.0</v>
      </c>
      <c r="B178" s="4">
        <v>2023.0</v>
      </c>
      <c r="C178" s="4">
        <v>9.0</v>
      </c>
      <c r="D178" s="4">
        <v>35.0</v>
      </c>
      <c r="E178" s="4" t="s">
        <v>17</v>
      </c>
      <c r="F178" s="4" t="s">
        <v>18</v>
      </c>
      <c r="G178" s="4" t="s">
        <v>19</v>
      </c>
      <c r="H178" s="4">
        <v>349.0</v>
      </c>
      <c r="I178" s="4">
        <v>5406.01</v>
      </c>
      <c r="J178" s="4">
        <v>15.49</v>
      </c>
      <c r="K178" s="4" t="s">
        <v>16</v>
      </c>
      <c r="L178" s="4" t="s">
        <v>16</v>
      </c>
      <c r="M178" s="4" t="s">
        <v>58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">
        <v>44994.0</v>
      </c>
      <c r="B179" s="4">
        <v>2023.0</v>
      </c>
      <c r="C179" s="4">
        <v>9.0</v>
      </c>
      <c r="D179" s="4">
        <v>35.0</v>
      </c>
      <c r="E179" s="4" t="s">
        <v>21</v>
      </c>
      <c r="F179" s="4" t="s">
        <v>22</v>
      </c>
      <c r="G179" s="4" t="s">
        <v>23</v>
      </c>
      <c r="H179" s="4">
        <v>248.0</v>
      </c>
      <c r="I179" s="4">
        <v>989.52</v>
      </c>
      <c r="J179" s="4">
        <v>3.99</v>
      </c>
      <c r="K179" s="4" t="s">
        <v>16</v>
      </c>
      <c r="L179" s="4" t="s">
        <v>16</v>
      </c>
      <c r="M179" s="4" t="s">
        <v>58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>
        <v>44994.0</v>
      </c>
      <c r="B180" s="4">
        <v>2023.0</v>
      </c>
      <c r="C180" s="4">
        <v>9.0</v>
      </c>
      <c r="D180" s="4">
        <v>35.0</v>
      </c>
      <c r="E180" s="4" t="s">
        <v>25</v>
      </c>
      <c r="F180" s="4" t="s">
        <v>26</v>
      </c>
      <c r="G180" s="4" t="s">
        <v>27</v>
      </c>
      <c r="H180" s="4">
        <v>50.0</v>
      </c>
      <c r="I180" s="4">
        <v>224.5</v>
      </c>
      <c r="J180" s="4">
        <v>4.49</v>
      </c>
      <c r="K180" s="4" t="s">
        <v>16</v>
      </c>
      <c r="L180" s="4" t="s">
        <v>24</v>
      </c>
      <c r="M180" s="4" t="s">
        <v>58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">
        <v>44994.0</v>
      </c>
      <c r="B181" s="4">
        <v>2023.0</v>
      </c>
      <c r="C181" s="4">
        <v>9.0</v>
      </c>
      <c r="D181" s="4">
        <v>35.0</v>
      </c>
      <c r="E181" s="4" t="s">
        <v>28</v>
      </c>
      <c r="F181" s="4" t="s">
        <v>29</v>
      </c>
      <c r="G181" s="4" t="s">
        <v>19</v>
      </c>
      <c r="H181" s="4">
        <v>267.0</v>
      </c>
      <c r="I181" s="4">
        <v>2400.33</v>
      </c>
      <c r="J181" s="4">
        <v>8.99</v>
      </c>
      <c r="K181" s="4" t="s">
        <v>16</v>
      </c>
      <c r="L181" s="4" t="s">
        <v>16</v>
      </c>
      <c r="M181" s="4" t="s">
        <v>58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>
        <v>45208.0</v>
      </c>
      <c r="B182" s="4">
        <v>2023.0</v>
      </c>
      <c r="C182" s="4">
        <v>9.0</v>
      </c>
      <c r="D182" s="4">
        <v>36.0</v>
      </c>
      <c r="E182" s="4" t="s">
        <v>13</v>
      </c>
      <c r="F182" s="4" t="s">
        <v>14</v>
      </c>
      <c r="G182" s="4" t="s">
        <v>15</v>
      </c>
      <c r="H182" s="4">
        <v>458.0</v>
      </c>
      <c r="I182" s="4">
        <v>5949.42</v>
      </c>
      <c r="J182" s="4">
        <v>12.99</v>
      </c>
      <c r="K182" s="4" t="s">
        <v>16</v>
      </c>
      <c r="L182" s="4" t="s">
        <v>16</v>
      </c>
      <c r="M182" s="4" t="s">
        <v>58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">
        <v>45208.0</v>
      </c>
      <c r="B183" s="4">
        <v>2023.0</v>
      </c>
      <c r="C183" s="4">
        <v>9.0</v>
      </c>
      <c r="D183" s="4">
        <v>36.0</v>
      </c>
      <c r="E183" s="4" t="s">
        <v>17</v>
      </c>
      <c r="F183" s="4" t="s">
        <v>18</v>
      </c>
      <c r="G183" s="4" t="s">
        <v>19</v>
      </c>
      <c r="H183" s="4">
        <v>280.0</v>
      </c>
      <c r="I183" s="4">
        <v>4337.2</v>
      </c>
      <c r="J183" s="4">
        <v>15.49</v>
      </c>
      <c r="K183" s="4" t="s">
        <v>16</v>
      </c>
      <c r="L183" s="4" t="s">
        <v>16</v>
      </c>
      <c r="M183" s="4" t="s">
        <v>58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>
        <v>45208.0</v>
      </c>
      <c r="B184" s="4">
        <v>2023.0</v>
      </c>
      <c r="C184" s="4">
        <v>9.0</v>
      </c>
      <c r="D184" s="4">
        <v>36.0</v>
      </c>
      <c r="E184" s="4" t="s">
        <v>21</v>
      </c>
      <c r="F184" s="4" t="s">
        <v>22</v>
      </c>
      <c r="G184" s="4" t="s">
        <v>23</v>
      </c>
      <c r="H184" s="4">
        <v>259.0</v>
      </c>
      <c r="I184" s="4">
        <v>1033.41</v>
      </c>
      <c r="J184" s="4">
        <v>3.99</v>
      </c>
      <c r="K184" s="4" t="s">
        <v>16</v>
      </c>
      <c r="L184" s="4" t="s">
        <v>16</v>
      </c>
      <c r="M184" s="4" t="s">
        <v>58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">
        <v>45208.0</v>
      </c>
      <c r="B185" s="4">
        <v>2023.0</v>
      </c>
      <c r="C185" s="4">
        <v>9.0</v>
      </c>
      <c r="D185" s="4">
        <v>36.0</v>
      </c>
      <c r="E185" s="4" t="s">
        <v>25</v>
      </c>
      <c r="F185" s="4" t="s">
        <v>26</v>
      </c>
      <c r="G185" s="4" t="s">
        <v>27</v>
      </c>
      <c r="H185" s="4">
        <v>284.0</v>
      </c>
      <c r="I185" s="4">
        <v>1275.16</v>
      </c>
      <c r="J185" s="4">
        <v>4.49</v>
      </c>
      <c r="K185" s="4" t="s">
        <v>24</v>
      </c>
      <c r="L185" s="4" t="s">
        <v>16</v>
      </c>
      <c r="M185" s="4" t="s">
        <v>58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>
        <v>45208.0</v>
      </c>
      <c r="B186" s="4">
        <v>2023.0</v>
      </c>
      <c r="C186" s="4">
        <v>9.0</v>
      </c>
      <c r="D186" s="4">
        <v>36.0</v>
      </c>
      <c r="E186" s="4" t="s">
        <v>28</v>
      </c>
      <c r="F186" s="4" t="s">
        <v>29</v>
      </c>
      <c r="G186" s="4" t="s">
        <v>19</v>
      </c>
      <c r="H186" s="4">
        <v>271.0</v>
      </c>
      <c r="I186" s="4">
        <v>2436.29</v>
      </c>
      <c r="J186" s="4">
        <v>8.99</v>
      </c>
      <c r="K186" s="4" t="s">
        <v>16</v>
      </c>
      <c r="L186" s="4" t="s">
        <v>16</v>
      </c>
      <c r="M186" s="4" t="s">
        <v>58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" t="s">
        <v>59</v>
      </c>
      <c r="B187" s="4">
        <v>2023.0</v>
      </c>
      <c r="C187" s="4">
        <v>9.0</v>
      </c>
      <c r="D187" s="4">
        <v>37.0</v>
      </c>
      <c r="E187" s="4" t="s">
        <v>13</v>
      </c>
      <c r="F187" s="4" t="s">
        <v>14</v>
      </c>
      <c r="G187" s="4" t="s">
        <v>15</v>
      </c>
      <c r="H187" s="4">
        <v>519.0</v>
      </c>
      <c r="I187" s="4">
        <v>6741.81</v>
      </c>
      <c r="J187" s="4">
        <v>12.99</v>
      </c>
      <c r="K187" s="4" t="s">
        <v>16</v>
      </c>
      <c r="L187" s="4" t="s">
        <v>16</v>
      </c>
      <c r="M187" s="4" t="s">
        <v>58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 t="s">
        <v>59</v>
      </c>
      <c r="B188" s="4">
        <v>2023.0</v>
      </c>
      <c r="C188" s="4">
        <v>9.0</v>
      </c>
      <c r="D188" s="4">
        <v>37.0</v>
      </c>
      <c r="E188" s="4" t="s">
        <v>17</v>
      </c>
      <c r="F188" s="4" t="s">
        <v>18</v>
      </c>
      <c r="G188" s="4" t="s">
        <v>19</v>
      </c>
      <c r="H188" s="4">
        <v>256.0</v>
      </c>
      <c r="I188" s="4">
        <v>3965.44</v>
      </c>
      <c r="J188" s="4">
        <v>15.49</v>
      </c>
      <c r="K188" s="4" t="s">
        <v>16</v>
      </c>
      <c r="L188" s="4" t="s">
        <v>16</v>
      </c>
      <c r="M188" s="4" t="s">
        <v>58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" t="s">
        <v>59</v>
      </c>
      <c r="B189" s="4">
        <v>2023.0</v>
      </c>
      <c r="C189" s="4">
        <v>9.0</v>
      </c>
      <c r="D189" s="4">
        <v>37.0</v>
      </c>
      <c r="E189" s="4" t="s">
        <v>21</v>
      </c>
      <c r="F189" s="4" t="s">
        <v>22</v>
      </c>
      <c r="G189" s="4" t="s">
        <v>23</v>
      </c>
      <c r="H189" s="4">
        <v>489.0</v>
      </c>
      <c r="I189" s="4">
        <v>1951.11</v>
      </c>
      <c r="J189" s="4">
        <v>3.99</v>
      </c>
      <c r="K189" s="4" t="s">
        <v>24</v>
      </c>
      <c r="L189" s="4" t="s">
        <v>16</v>
      </c>
      <c r="M189" s="4" t="s">
        <v>58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 t="s">
        <v>59</v>
      </c>
      <c r="B190" s="4">
        <v>2023.0</v>
      </c>
      <c r="C190" s="4">
        <v>9.0</v>
      </c>
      <c r="D190" s="4">
        <v>37.0</v>
      </c>
      <c r="E190" s="4" t="s">
        <v>25</v>
      </c>
      <c r="F190" s="4" t="s">
        <v>26</v>
      </c>
      <c r="G190" s="4" t="s">
        <v>27</v>
      </c>
      <c r="H190" s="4">
        <v>214.0</v>
      </c>
      <c r="I190" s="4">
        <v>960.86</v>
      </c>
      <c r="J190" s="4">
        <v>4.49</v>
      </c>
      <c r="K190" s="4" t="s">
        <v>16</v>
      </c>
      <c r="L190" s="4" t="s">
        <v>16</v>
      </c>
      <c r="M190" s="4" t="s">
        <v>58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" t="s">
        <v>59</v>
      </c>
      <c r="B191" s="4">
        <v>2023.0</v>
      </c>
      <c r="C191" s="4">
        <v>9.0</v>
      </c>
      <c r="D191" s="4">
        <v>37.0</v>
      </c>
      <c r="E191" s="4" t="s">
        <v>28</v>
      </c>
      <c r="F191" s="4" t="s">
        <v>29</v>
      </c>
      <c r="G191" s="4" t="s">
        <v>19</v>
      </c>
      <c r="H191" s="4">
        <v>364.0</v>
      </c>
      <c r="I191" s="4">
        <v>3272.36</v>
      </c>
      <c r="J191" s="4">
        <v>8.99</v>
      </c>
      <c r="K191" s="4" t="s">
        <v>24</v>
      </c>
      <c r="L191" s="4" t="s">
        <v>16</v>
      </c>
      <c r="M191" s="4" t="s">
        <v>58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 t="s">
        <v>60</v>
      </c>
      <c r="B192" s="4">
        <v>2023.0</v>
      </c>
      <c r="C192" s="4">
        <v>9.0</v>
      </c>
      <c r="D192" s="4">
        <v>38.0</v>
      </c>
      <c r="E192" s="4" t="s">
        <v>13</v>
      </c>
      <c r="F192" s="4" t="s">
        <v>14</v>
      </c>
      <c r="G192" s="4" t="s">
        <v>15</v>
      </c>
      <c r="H192" s="4">
        <v>354.0</v>
      </c>
      <c r="I192" s="4">
        <v>4598.46</v>
      </c>
      <c r="J192" s="4">
        <v>12.99</v>
      </c>
      <c r="K192" s="4" t="s">
        <v>16</v>
      </c>
      <c r="L192" s="4" t="s">
        <v>16</v>
      </c>
      <c r="M192" s="4" t="s">
        <v>58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" t="s">
        <v>60</v>
      </c>
      <c r="B193" s="4">
        <v>2023.0</v>
      </c>
      <c r="C193" s="4">
        <v>9.0</v>
      </c>
      <c r="D193" s="4">
        <v>38.0</v>
      </c>
      <c r="E193" s="4" t="s">
        <v>17</v>
      </c>
      <c r="F193" s="4" t="s">
        <v>18</v>
      </c>
      <c r="G193" s="4" t="s">
        <v>19</v>
      </c>
      <c r="H193" s="4">
        <v>479.0</v>
      </c>
      <c r="I193" s="4">
        <v>7419.71</v>
      </c>
      <c r="J193" s="4">
        <v>15.49</v>
      </c>
      <c r="K193" s="4" t="s">
        <v>24</v>
      </c>
      <c r="L193" s="4" t="s">
        <v>16</v>
      </c>
      <c r="M193" s="4" t="s">
        <v>58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 t="s">
        <v>60</v>
      </c>
      <c r="B194" s="4">
        <v>2023.0</v>
      </c>
      <c r="C194" s="4">
        <v>9.0</v>
      </c>
      <c r="D194" s="4">
        <v>38.0</v>
      </c>
      <c r="E194" s="4" t="s">
        <v>21</v>
      </c>
      <c r="F194" s="4" t="s">
        <v>22</v>
      </c>
      <c r="G194" s="4" t="s">
        <v>23</v>
      </c>
      <c r="H194" s="4">
        <v>367.0</v>
      </c>
      <c r="I194" s="4">
        <v>1464.33</v>
      </c>
      <c r="J194" s="4">
        <v>3.99</v>
      </c>
      <c r="K194" s="4" t="s">
        <v>24</v>
      </c>
      <c r="L194" s="4" t="s">
        <v>16</v>
      </c>
      <c r="M194" s="4" t="s">
        <v>58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" t="s">
        <v>60</v>
      </c>
      <c r="B195" s="4">
        <v>2023.0</v>
      </c>
      <c r="C195" s="4">
        <v>9.0</v>
      </c>
      <c r="D195" s="4">
        <v>38.0</v>
      </c>
      <c r="E195" s="4" t="s">
        <v>25</v>
      </c>
      <c r="F195" s="4" t="s">
        <v>26</v>
      </c>
      <c r="G195" s="4" t="s">
        <v>27</v>
      </c>
      <c r="H195" s="4">
        <v>165.0</v>
      </c>
      <c r="I195" s="4">
        <v>740.85</v>
      </c>
      <c r="J195" s="4">
        <v>4.49</v>
      </c>
      <c r="K195" s="4" t="s">
        <v>16</v>
      </c>
      <c r="L195" s="4" t="s">
        <v>16</v>
      </c>
      <c r="M195" s="4" t="s">
        <v>58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 t="s">
        <v>60</v>
      </c>
      <c r="B196" s="4">
        <v>2023.0</v>
      </c>
      <c r="C196" s="4">
        <v>9.0</v>
      </c>
      <c r="D196" s="4">
        <v>38.0</v>
      </c>
      <c r="E196" s="4" t="s">
        <v>28</v>
      </c>
      <c r="F196" s="4" t="s">
        <v>29</v>
      </c>
      <c r="G196" s="4" t="s">
        <v>19</v>
      </c>
      <c r="H196" s="4">
        <v>348.0</v>
      </c>
      <c r="I196" s="4">
        <v>3128.52</v>
      </c>
      <c r="J196" s="4">
        <v>8.99</v>
      </c>
      <c r="K196" s="4" t="s">
        <v>24</v>
      </c>
      <c r="L196" s="4" t="s">
        <v>16</v>
      </c>
      <c r="M196" s="4" t="s">
        <v>58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">
        <v>44936.0</v>
      </c>
      <c r="B197" s="4">
        <v>2023.0</v>
      </c>
      <c r="C197" s="4">
        <v>10.0</v>
      </c>
      <c r="D197" s="4">
        <v>39.0</v>
      </c>
      <c r="E197" s="4" t="s">
        <v>13</v>
      </c>
      <c r="F197" s="4" t="s">
        <v>14</v>
      </c>
      <c r="G197" s="4" t="s">
        <v>15</v>
      </c>
      <c r="H197" s="4">
        <v>571.0</v>
      </c>
      <c r="I197" s="4">
        <v>7417.29</v>
      </c>
      <c r="J197" s="4">
        <v>12.99</v>
      </c>
      <c r="K197" s="4" t="s">
        <v>16</v>
      </c>
      <c r="L197" s="4" t="s">
        <v>16</v>
      </c>
      <c r="M197" s="4" t="s">
        <v>61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>
        <v>44936.0</v>
      </c>
      <c r="B198" s="4">
        <v>2023.0</v>
      </c>
      <c r="C198" s="4">
        <v>10.0</v>
      </c>
      <c r="D198" s="4">
        <v>39.0</v>
      </c>
      <c r="E198" s="4" t="s">
        <v>17</v>
      </c>
      <c r="F198" s="4" t="s">
        <v>18</v>
      </c>
      <c r="G198" s="4" t="s">
        <v>19</v>
      </c>
      <c r="H198" s="4">
        <v>280.0</v>
      </c>
      <c r="I198" s="4">
        <v>4337.2</v>
      </c>
      <c r="J198" s="4">
        <v>15.49</v>
      </c>
      <c r="K198" s="4" t="s">
        <v>16</v>
      </c>
      <c r="L198" s="4" t="s">
        <v>16</v>
      </c>
      <c r="M198" s="4" t="s">
        <v>61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">
        <v>44936.0</v>
      </c>
      <c r="B199" s="4">
        <v>2023.0</v>
      </c>
      <c r="C199" s="4">
        <v>10.0</v>
      </c>
      <c r="D199" s="4">
        <v>39.0</v>
      </c>
      <c r="E199" s="4" t="s">
        <v>21</v>
      </c>
      <c r="F199" s="4" t="s">
        <v>22</v>
      </c>
      <c r="G199" s="4" t="s">
        <v>23</v>
      </c>
      <c r="H199" s="4">
        <v>282.0</v>
      </c>
      <c r="I199" s="4">
        <v>1125.18</v>
      </c>
      <c r="J199" s="4">
        <v>3.99</v>
      </c>
      <c r="K199" s="4" t="s">
        <v>16</v>
      </c>
      <c r="L199" s="4" t="s">
        <v>16</v>
      </c>
      <c r="M199" s="4" t="s">
        <v>61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>
        <v>44936.0</v>
      </c>
      <c r="B200" s="4">
        <v>2023.0</v>
      </c>
      <c r="C200" s="4">
        <v>10.0</v>
      </c>
      <c r="D200" s="4">
        <v>39.0</v>
      </c>
      <c r="E200" s="4" t="s">
        <v>25</v>
      </c>
      <c r="F200" s="4" t="s">
        <v>26</v>
      </c>
      <c r="G200" s="4" t="s">
        <v>27</v>
      </c>
      <c r="H200" s="4">
        <v>218.0</v>
      </c>
      <c r="I200" s="4">
        <v>978.82</v>
      </c>
      <c r="J200" s="4">
        <v>4.49</v>
      </c>
      <c r="K200" s="4" t="s">
        <v>24</v>
      </c>
      <c r="L200" s="4" t="s">
        <v>16</v>
      </c>
      <c r="M200" s="4" t="s">
        <v>61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">
        <v>44936.0</v>
      </c>
      <c r="B201" s="4">
        <v>2023.0</v>
      </c>
      <c r="C201" s="4">
        <v>10.0</v>
      </c>
      <c r="D201" s="4">
        <v>39.0</v>
      </c>
      <c r="E201" s="4" t="s">
        <v>28</v>
      </c>
      <c r="F201" s="4" t="s">
        <v>29</v>
      </c>
      <c r="G201" s="4" t="s">
        <v>19</v>
      </c>
      <c r="H201" s="4">
        <v>270.0</v>
      </c>
      <c r="I201" s="4">
        <v>2427.3</v>
      </c>
      <c r="J201" s="4">
        <v>8.99</v>
      </c>
      <c r="K201" s="4" t="s">
        <v>16</v>
      </c>
      <c r="L201" s="4" t="s">
        <v>16</v>
      </c>
      <c r="M201" s="4" t="s">
        <v>61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>
        <v>45148.0</v>
      </c>
      <c r="B202" s="4">
        <v>2023.0</v>
      </c>
      <c r="C202" s="4">
        <v>10.0</v>
      </c>
      <c r="D202" s="4">
        <v>40.0</v>
      </c>
      <c r="E202" s="4" t="s">
        <v>13</v>
      </c>
      <c r="F202" s="4" t="s">
        <v>14</v>
      </c>
      <c r="G202" s="4" t="s">
        <v>15</v>
      </c>
      <c r="H202" s="4">
        <v>426.0</v>
      </c>
      <c r="I202" s="4">
        <v>5533.74</v>
      </c>
      <c r="J202" s="4">
        <v>12.99</v>
      </c>
      <c r="K202" s="4" t="s">
        <v>16</v>
      </c>
      <c r="L202" s="4" t="s">
        <v>16</v>
      </c>
      <c r="M202" s="4" t="s">
        <v>61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">
        <v>45148.0</v>
      </c>
      <c r="B203" s="4">
        <v>2023.0</v>
      </c>
      <c r="C203" s="4">
        <v>10.0</v>
      </c>
      <c r="D203" s="4">
        <v>40.0</v>
      </c>
      <c r="E203" s="4" t="s">
        <v>17</v>
      </c>
      <c r="F203" s="4" t="s">
        <v>18</v>
      </c>
      <c r="G203" s="4" t="s">
        <v>19</v>
      </c>
      <c r="H203" s="4">
        <v>405.0</v>
      </c>
      <c r="I203" s="4">
        <v>6273.45</v>
      </c>
      <c r="J203" s="4">
        <v>15.49</v>
      </c>
      <c r="K203" s="4" t="s">
        <v>24</v>
      </c>
      <c r="L203" s="4" t="s">
        <v>16</v>
      </c>
      <c r="M203" s="4" t="s">
        <v>61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>
        <v>45148.0</v>
      </c>
      <c r="B204" s="4">
        <v>2023.0</v>
      </c>
      <c r="C204" s="4">
        <v>10.0</v>
      </c>
      <c r="D204" s="4">
        <v>40.0</v>
      </c>
      <c r="E204" s="4" t="s">
        <v>21</v>
      </c>
      <c r="F204" s="4" t="s">
        <v>22</v>
      </c>
      <c r="G204" s="4" t="s">
        <v>23</v>
      </c>
      <c r="H204" s="4">
        <v>424.0</v>
      </c>
      <c r="I204" s="4">
        <v>1691.76</v>
      </c>
      <c r="J204" s="4">
        <v>3.99</v>
      </c>
      <c r="K204" s="4" t="s">
        <v>24</v>
      </c>
      <c r="L204" s="4" t="s">
        <v>16</v>
      </c>
      <c r="M204" s="4" t="s">
        <v>61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">
        <v>45148.0</v>
      </c>
      <c r="B205" s="4">
        <v>2023.0</v>
      </c>
      <c r="C205" s="4">
        <v>10.0</v>
      </c>
      <c r="D205" s="4">
        <v>40.0</v>
      </c>
      <c r="E205" s="4" t="s">
        <v>25</v>
      </c>
      <c r="F205" s="4" t="s">
        <v>26</v>
      </c>
      <c r="G205" s="4" t="s">
        <v>27</v>
      </c>
      <c r="H205" s="4">
        <v>196.0</v>
      </c>
      <c r="I205" s="4">
        <v>880.04</v>
      </c>
      <c r="J205" s="4">
        <v>4.49</v>
      </c>
      <c r="K205" s="4" t="s">
        <v>16</v>
      </c>
      <c r="L205" s="4" t="s">
        <v>16</v>
      </c>
      <c r="M205" s="4" t="s">
        <v>61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>
        <v>45148.0</v>
      </c>
      <c r="B206" s="4">
        <v>2023.0</v>
      </c>
      <c r="C206" s="4">
        <v>10.0</v>
      </c>
      <c r="D206" s="4">
        <v>40.0</v>
      </c>
      <c r="E206" s="4" t="s">
        <v>28</v>
      </c>
      <c r="F206" s="4" t="s">
        <v>29</v>
      </c>
      <c r="G206" s="4" t="s">
        <v>19</v>
      </c>
      <c r="H206" s="4">
        <v>228.0</v>
      </c>
      <c r="I206" s="4">
        <v>2049.72</v>
      </c>
      <c r="J206" s="4">
        <v>8.99</v>
      </c>
      <c r="K206" s="4" t="s">
        <v>16</v>
      </c>
      <c r="L206" s="4" t="s">
        <v>16</v>
      </c>
      <c r="M206" s="4" t="s">
        <v>61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" t="s">
        <v>62</v>
      </c>
      <c r="B207" s="4">
        <v>2023.0</v>
      </c>
      <c r="C207" s="4">
        <v>10.0</v>
      </c>
      <c r="D207" s="4">
        <v>41.0</v>
      </c>
      <c r="E207" s="4" t="s">
        <v>13</v>
      </c>
      <c r="F207" s="4" t="s">
        <v>14</v>
      </c>
      <c r="G207" s="4" t="s">
        <v>15</v>
      </c>
      <c r="H207" s="4">
        <v>521.0</v>
      </c>
      <c r="I207" s="4">
        <v>6767.79</v>
      </c>
      <c r="J207" s="4">
        <v>12.99</v>
      </c>
      <c r="K207" s="4" t="s">
        <v>16</v>
      </c>
      <c r="L207" s="4" t="s">
        <v>16</v>
      </c>
      <c r="M207" s="4" t="s">
        <v>61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 t="s">
        <v>62</v>
      </c>
      <c r="B208" s="4">
        <v>2023.0</v>
      </c>
      <c r="C208" s="4">
        <v>10.0</v>
      </c>
      <c r="D208" s="4">
        <v>41.0</v>
      </c>
      <c r="E208" s="4" t="s">
        <v>17</v>
      </c>
      <c r="F208" s="4" t="s">
        <v>18</v>
      </c>
      <c r="G208" s="4" t="s">
        <v>19</v>
      </c>
      <c r="H208" s="4">
        <v>249.0</v>
      </c>
      <c r="I208" s="4">
        <v>3857.01</v>
      </c>
      <c r="J208" s="4">
        <v>15.49</v>
      </c>
      <c r="K208" s="4" t="s">
        <v>16</v>
      </c>
      <c r="L208" s="4" t="s">
        <v>16</v>
      </c>
      <c r="M208" s="4" t="s">
        <v>61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" t="s">
        <v>62</v>
      </c>
      <c r="B209" s="4">
        <v>2023.0</v>
      </c>
      <c r="C209" s="4">
        <v>10.0</v>
      </c>
      <c r="D209" s="4">
        <v>41.0</v>
      </c>
      <c r="E209" s="4" t="s">
        <v>21</v>
      </c>
      <c r="F209" s="4" t="s">
        <v>22</v>
      </c>
      <c r="G209" s="4" t="s">
        <v>23</v>
      </c>
      <c r="H209" s="4">
        <v>315.0</v>
      </c>
      <c r="I209" s="4">
        <v>1256.85</v>
      </c>
      <c r="J209" s="4">
        <v>3.99</v>
      </c>
      <c r="K209" s="4" t="s">
        <v>16</v>
      </c>
      <c r="L209" s="4" t="s">
        <v>16</v>
      </c>
      <c r="M209" s="4" t="s">
        <v>61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 t="s">
        <v>62</v>
      </c>
      <c r="B210" s="4">
        <v>2023.0</v>
      </c>
      <c r="C210" s="4">
        <v>10.0</v>
      </c>
      <c r="D210" s="4">
        <v>41.0</v>
      </c>
      <c r="E210" s="4" t="s">
        <v>25</v>
      </c>
      <c r="F210" s="4" t="s">
        <v>26</v>
      </c>
      <c r="G210" s="4" t="s">
        <v>27</v>
      </c>
      <c r="H210" s="4">
        <v>209.0</v>
      </c>
      <c r="I210" s="4">
        <v>938.41</v>
      </c>
      <c r="J210" s="4">
        <v>4.49</v>
      </c>
      <c r="K210" s="4" t="s">
        <v>24</v>
      </c>
      <c r="L210" s="4" t="s">
        <v>16</v>
      </c>
      <c r="M210" s="4" t="s">
        <v>61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" t="s">
        <v>62</v>
      </c>
      <c r="B211" s="4">
        <v>2023.0</v>
      </c>
      <c r="C211" s="4">
        <v>10.0</v>
      </c>
      <c r="D211" s="4">
        <v>41.0</v>
      </c>
      <c r="E211" s="4" t="s">
        <v>28</v>
      </c>
      <c r="F211" s="4" t="s">
        <v>29</v>
      </c>
      <c r="G211" s="4" t="s">
        <v>19</v>
      </c>
      <c r="H211" s="4">
        <v>251.0</v>
      </c>
      <c r="I211" s="4">
        <v>2256.49</v>
      </c>
      <c r="J211" s="4">
        <v>8.99</v>
      </c>
      <c r="K211" s="4" t="s">
        <v>16</v>
      </c>
      <c r="L211" s="4" t="s">
        <v>16</v>
      </c>
      <c r="M211" s="4" t="s">
        <v>61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 t="s">
        <v>63</v>
      </c>
      <c r="B212" s="4">
        <v>2023.0</v>
      </c>
      <c r="C212" s="4">
        <v>10.0</v>
      </c>
      <c r="D212" s="4">
        <v>42.0</v>
      </c>
      <c r="E212" s="4" t="s">
        <v>13</v>
      </c>
      <c r="F212" s="4" t="s">
        <v>14</v>
      </c>
      <c r="G212" s="4" t="s">
        <v>15</v>
      </c>
      <c r="H212" s="4">
        <v>464.0</v>
      </c>
      <c r="I212" s="4">
        <v>6027.36</v>
      </c>
      <c r="J212" s="4">
        <v>12.99</v>
      </c>
      <c r="K212" s="4" t="s">
        <v>16</v>
      </c>
      <c r="L212" s="4" t="s">
        <v>16</v>
      </c>
      <c r="M212" s="4" t="s">
        <v>61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" t="s">
        <v>63</v>
      </c>
      <c r="B213" s="4">
        <v>2023.0</v>
      </c>
      <c r="C213" s="4">
        <v>10.0</v>
      </c>
      <c r="D213" s="4">
        <v>42.0</v>
      </c>
      <c r="E213" s="4" t="s">
        <v>17</v>
      </c>
      <c r="F213" s="4" t="s">
        <v>18</v>
      </c>
      <c r="G213" s="4" t="s">
        <v>19</v>
      </c>
      <c r="H213" s="4">
        <v>272.0</v>
      </c>
      <c r="I213" s="4">
        <v>4213.28</v>
      </c>
      <c r="J213" s="4">
        <v>15.49</v>
      </c>
      <c r="K213" s="4" t="s">
        <v>16</v>
      </c>
      <c r="L213" s="4" t="s">
        <v>16</v>
      </c>
      <c r="M213" s="4" t="s">
        <v>61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 t="s">
        <v>63</v>
      </c>
      <c r="B214" s="4">
        <v>2023.0</v>
      </c>
      <c r="C214" s="4">
        <v>10.0</v>
      </c>
      <c r="D214" s="4">
        <v>42.0</v>
      </c>
      <c r="E214" s="4" t="s">
        <v>21</v>
      </c>
      <c r="F214" s="4" t="s">
        <v>22</v>
      </c>
      <c r="G214" s="4" t="s">
        <v>23</v>
      </c>
      <c r="H214" s="4">
        <v>335.0</v>
      </c>
      <c r="I214" s="4">
        <v>1336.65</v>
      </c>
      <c r="J214" s="4">
        <v>3.99</v>
      </c>
      <c r="K214" s="4" t="s">
        <v>16</v>
      </c>
      <c r="L214" s="4" t="s">
        <v>16</v>
      </c>
      <c r="M214" s="4" t="s">
        <v>61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" t="s">
        <v>63</v>
      </c>
      <c r="B215" s="4">
        <v>2023.0</v>
      </c>
      <c r="C215" s="4">
        <v>10.0</v>
      </c>
      <c r="D215" s="4">
        <v>42.0</v>
      </c>
      <c r="E215" s="4" t="s">
        <v>25</v>
      </c>
      <c r="F215" s="4" t="s">
        <v>26</v>
      </c>
      <c r="G215" s="4" t="s">
        <v>27</v>
      </c>
      <c r="H215" s="4">
        <v>180.0</v>
      </c>
      <c r="I215" s="4">
        <v>808.2</v>
      </c>
      <c r="J215" s="4">
        <v>4.49</v>
      </c>
      <c r="K215" s="4" t="s">
        <v>16</v>
      </c>
      <c r="L215" s="4" t="s">
        <v>16</v>
      </c>
      <c r="M215" s="4" t="s">
        <v>61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 t="s">
        <v>63</v>
      </c>
      <c r="B216" s="4">
        <v>2023.0</v>
      </c>
      <c r="C216" s="4">
        <v>10.0</v>
      </c>
      <c r="D216" s="4">
        <v>42.0</v>
      </c>
      <c r="E216" s="4" t="s">
        <v>28</v>
      </c>
      <c r="F216" s="4" t="s">
        <v>29</v>
      </c>
      <c r="G216" s="4" t="s">
        <v>19</v>
      </c>
      <c r="H216" s="4">
        <v>157.0</v>
      </c>
      <c r="I216" s="4">
        <v>1411.43</v>
      </c>
      <c r="J216" s="4">
        <v>8.99</v>
      </c>
      <c r="K216" s="4" t="s">
        <v>16</v>
      </c>
      <c r="L216" s="4" t="s">
        <v>16</v>
      </c>
      <c r="M216" s="4" t="s">
        <v>61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" t="s">
        <v>64</v>
      </c>
      <c r="B217" s="4">
        <v>2023.0</v>
      </c>
      <c r="C217" s="4">
        <v>10.0</v>
      </c>
      <c r="D217" s="4">
        <v>43.0</v>
      </c>
      <c r="E217" s="4" t="s">
        <v>13</v>
      </c>
      <c r="F217" s="4" t="s">
        <v>14</v>
      </c>
      <c r="G217" s="4" t="s">
        <v>15</v>
      </c>
      <c r="H217" s="4">
        <v>413.0</v>
      </c>
      <c r="I217" s="4">
        <v>5364.87</v>
      </c>
      <c r="J217" s="4">
        <v>12.99</v>
      </c>
      <c r="K217" s="4" t="s">
        <v>16</v>
      </c>
      <c r="L217" s="4" t="s">
        <v>16</v>
      </c>
      <c r="M217" s="4" t="s">
        <v>61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 t="s">
        <v>64</v>
      </c>
      <c r="B218" s="4">
        <v>2023.0</v>
      </c>
      <c r="C218" s="4">
        <v>10.0</v>
      </c>
      <c r="D218" s="4">
        <v>43.0</v>
      </c>
      <c r="E218" s="4" t="s">
        <v>17</v>
      </c>
      <c r="F218" s="4" t="s">
        <v>18</v>
      </c>
      <c r="G218" s="4" t="s">
        <v>19</v>
      </c>
      <c r="H218" s="4">
        <v>352.0</v>
      </c>
      <c r="I218" s="4">
        <v>5452.48</v>
      </c>
      <c r="J218" s="4">
        <v>15.49</v>
      </c>
      <c r="K218" s="4" t="s">
        <v>16</v>
      </c>
      <c r="L218" s="4" t="s">
        <v>16</v>
      </c>
      <c r="M218" s="4" t="s">
        <v>61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" t="s">
        <v>64</v>
      </c>
      <c r="B219" s="4">
        <v>2023.0</v>
      </c>
      <c r="C219" s="4">
        <v>10.0</v>
      </c>
      <c r="D219" s="4">
        <v>43.0</v>
      </c>
      <c r="E219" s="4" t="s">
        <v>21</v>
      </c>
      <c r="F219" s="4" t="s">
        <v>22</v>
      </c>
      <c r="G219" s="4" t="s">
        <v>23</v>
      </c>
      <c r="H219" s="4">
        <v>371.0</v>
      </c>
      <c r="I219" s="4">
        <v>1480.29</v>
      </c>
      <c r="J219" s="4">
        <v>3.99</v>
      </c>
      <c r="K219" s="4" t="s">
        <v>24</v>
      </c>
      <c r="L219" s="4" t="s">
        <v>16</v>
      </c>
      <c r="M219" s="4" t="s">
        <v>61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 t="s">
        <v>64</v>
      </c>
      <c r="B220" s="4">
        <v>2023.0</v>
      </c>
      <c r="C220" s="4">
        <v>10.0</v>
      </c>
      <c r="D220" s="4">
        <v>43.0</v>
      </c>
      <c r="E220" s="4" t="s">
        <v>25</v>
      </c>
      <c r="F220" s="4" t="s">
        <v>26</v>
      </c>
      <c r="G220" s="4" t="s">
        <v>27</v>
      </c>
      <c r="H220" s="4">
        <v>326.0</v>
      </c>
      <c r="I220" s="4">
        <v>1463.74</v>
      </c>
      <c r="J220" s="4">
        <v>4.49</v>
      </c>
      <c r="K220" s="4" t="s">
        <v>24</v>
      </c>
      <c r="L220" s="4" t="s">
        <v>16</v>
      </c>
      <c r="M220" s="4" t="s">
        <v>61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" t="s">
        <v>64</v>
      </c>
      <c r="B221" s="4">
        <v>2023.0</v>
      </c>
      <c r="C221" s="4">
        <v>10.0</v>
      </c>
      <c r="D221" s="4">
        <v>43.0</v>
      </c>
      <c r="E221" s="4" t="s">
        <v>28</v>
      </c>
      <c r="F221" s="4" t="s">
        <v>29</v>
      </c>
      <c r="G221" s="4" t="s">
        <v>19</v>
      </c>
      <c r="H221" s="4">
        <v>259.0</v>
      </c>
      <c r="I221" s="4">
        <v>2328.41</v>
      </c>
      <c r="J221" s="4">
        <v>8.99</v>
      </c>
      <c r="K221" s="4" t="s">
        <v>16</v>
      </c>
      <c r="L221" s="4" t="s">
        <v>16</v>
      </c>
      <c r="M221" s="4" t="s">
        <v>61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">
        <v>45057.0</v>
      </c>
      <c r="B222" s="4">
        <v>2023.0</v>
      </c>
      <c r="C222" s="4">
        <v>11.0</v>
      </c>
      <c r="D222" s="4">
        <v>44.0</v>
      </c>
      <c r="E222" s="4" t="s">
        <v>13</v>
      </c>
      <c r="F222" s="4" t="s">
        <v>14</v>
      </c>
      <c r="G222" s="4" t="s">
        <v>15</v>
      </c>
      <c r="H222" s="4">
        <v>671.0</v>
      </c>
      <c r="I222" s="4">
        <v>8716.29</v>
      </c>
      <c r="J222" s="4">
        <v>12.99</v>
      </c>
      <c r="K222" s="4" t="s">
        <v>16</v>
      </c>
      <c r="L222" s="4" t="s">
        <v>16</v>
      </c>
      <c r="M222" s="4" t="s">
        <v>65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">
        <v>45057.0</v>
      </c>
      <c r="B223" s="4">
        <v>2023.0</v>
      </c>
      <c r="C223" s="4">
        <v>11.0</v>
      </c>
      <c r="D223" s="4">
        <v>44.0</v>
      </c>
      <c r="E223" s="4" t="s">
        <v>17</v>
      </c>
      <c r="F223" s="4" t="s">
        <v>18</v>
      </c>
      <c r="G223" s="4" t="s">
        <v>19</v>
      </c>
      <c r="H223" s="4">
        <v>422.0</v>
      </c>
      <c r="I223" s="4">
        <v>6536.78</v>
      </c>
      <c r="J223" s="4">
        <v>15.49</v>
      </c>
      <c r="K223" s="4" t="s">
        <v>16</v>
      </c>
      <c r="L223" s="4" t="s">
        <v>16</v>
      </c>
      <c r="M223" s="4" t="s">
        <v>65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">
        <v>45057.0</v>
      </c>
      <c r="B224" s="4">
        <v>2023.0</v>
      </c>
      <c r="C224" s="4">
        <v>11.0</v>
      </c>
      <c r="D224" s="4">
        <v>44.0</v>
      </c>
      <c r="E224" s="4" t="s">
        <v>21</v>
      </c>
      <c r="F224" s="4" t="s">
        <v>22</v>
      </c>
      <c r="G224" s="4" t="s">
        <v>23</v>
      </c>
      <c r="H224" s="4">
        <v>465.0</v>
      </c>
      <c r="I224" s="4">
        <v>1855.35</v>
      </c>
      <c r="J224" s="4">
        <v>3.99</v>
      </c>
      <c r="K224" s="4" t="s">
        <v>16</v>
      </c>
      <c r="L224" s="4" t="s">
        <v>16</v>
      </c>
      <c r="M224" s="4" t="s">
        <v>65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">
        <v>45057.0</v>
      </c>
      <c r="B225" s="4">
        <v>2023.0</v>
      </c>
      <c r="C225" s="4">
        <v>11.0</v>
      </c>
      <c r="D225" s="4">
        <v>44.0</v>
      </c>
      <c r="E225" s="4" t="s">
        <v>25</v>
      </c>
      <c r="F225" s="4" t="s">
        <v>26</v>
      </c>
      <c r="G225" s="4" t="s">
        <v>27</v>
      </c>
      <c r="H225" s="4">
        <v>251.0</v>
      </c>
      <c r="I225" s="4">
        <v>1126.99</v>
      </c>
      <c r="J225" s="4">
        <v>4.49</v>
      </c>
      <c r="K225" s="4" t="s">
        <v>16</v>
      </c>
      <c r="L225" s="4" t="s">
        <v>16</v>
      </c>
      <c r="M225" s="4" t="s">
        <v>65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">
        <v>45057.0</v>
      </c>
      <c r="B226" s="4">
        <v>2023.0</v>
      </c>
      <c r="C226" s="4">
        <v>11.0</v>
      </c>
      <c r="D226" s="4">
        <v>44.0</v>
      </c>
      <c r="E226" s="4" t="s">
        <v>28</v>
      </c>
      <c r="F226" s="4" t="s">
        <v>29</v>
      </c>
      <c r="G226" s="4" t="s">
        <v>19</v>
      </c>
      <c r="H226" s="4">
        <v>339.0</v>
      </c>
      <c r="I226" s="4">
        <v>3047.61</v>
      </c>
      <c r="J226" s="4">
        <v>8.99</v>
      </c>
      <c r="K226" s="4" t="s">
        <v>16</v>
      </c>
      <c r="L226" s="4" t="s">
        <v>16</v>
      </c>
      <c r="M226" s="4" t="s">
        <v>65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">
        <v>45271.0</v>
      </c>
      <c r="B227" s="4">
        <v>2023.0</v>
      </c>
      <c r="C227" s="4">
        <v>11.0</v>
      </c>
      <c r="D227" s="4">
        <v>45.0</v>
      </c>
      <c r="E227" s="4" t="s">
        <v>13</v>
      </c>
      <c r="F227" s="4" t="s">
        <v>14</v>
      </c>
      <c r="G227" s="4" t="s">
        <v>15</v>
      </c>
      <c r="H227" s="4">
        <v>794.0</v>
      </c>
      <c r="I227" s="4">
        <v>10314.06</v>
      </c>
      <c r="J227" s="4">
        <v>12.99</v>
      </c>
      <c r="K227" s="4" t="s">
        <v>16</v>
      </c>
      <c r="L227" s="4" t="s">
        <v>16</v>
      </c>
      <c r="M227" s="4" t="s">
        <v>65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">
        <v>45271.0</v>
      </c>
      <c r="B228" s="4">
        <v>2023.0</v>
      </c>
      <c r="C228" s="4">
        <v>11.0</v>
      </c>
      <c r="D228" s="4">
        <v>45.0</v>
      </c>
      <c r="E228" s="4" t="s">
        <v>17</v>
      </c>
      <c r="F228" s="4" t="s">
        <v>18</v>
      </c>
      <c r="G228" s="4" t="s">
        <v>19</v>
      </c>
      <c r="H228" s="4">
        <v>654.0</v>
      </c>
      <c r="I228" s="4">
        <v>10130.46</v>
      </c>
      <c r="J228" s="4">
        <v>15.49</v>
      </c>
      <c r="K228" s="4" t="s">
        <v>24</v>
      </c>
      <c r="L228" s="4" t="s">
        <v>16</v>
      </c>
      <c r="M228" s="4" t="s">
        <v>65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">
        <v>45271.0</v>
      </c>
      <c r="B229" s="4">
        <v>2023.0</v>
      </c>
      <c r="C229" s="4">
        <v>11.0</v>
      </c>
      <c r="D229" s="4">
        <v>45.0</v>
      </c>
      <c r="E229" s="4" t="s">
        <v>21</v>
      </c>
      <c r="F229" s="4" t="s">
        <v>22</v>
      </c>
      <c r="G229" s="4" t="s">
        <v>23</v>
      </c>
      <c r="H229" s="4">
        <v>440.0</v>
      </c>
      <c r="I229" s="4">
        <v>1755.6</v>
      </c>
      <c r="J229" s="4">
        <v>3.99</v>
      </c>
      <c r="K229" s="4" t="s">
        <v>16</v>
      </c>
      <c r="L229" s="4" t="s">
        <v>16</v>
      </c>
      <c r="M229" s="4" t="s">
        <v>65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">
        <v>45271.0</v>
      </c>
      <c r="B230" s="4">
        <v>2023.0</v>
      </c>
      <c r="C230" s="4">
        <v>11.0</v>
      </c>
      <c r="D230" s="4">
        <v>45.0</v>
      </c>
      <c r="E230" s="4" t="s">
        <v>25</v>
      </c>
      <c r="F230" s="4" t="s">
        <v>26</v>
      </c>
      <c r="G230" s="4" t="s">
        <v>27</v>
      </c>
      <c r="H230" s="4">
        <v>281.0</v>
      </c>
      <c r="I230" s="4">
        <v>1261.69</v>
      </c>
      <c r="J230" s="4">
        <v>4.49</v>
      </c>
      <c r="K230" s="4" t="s">
        <v>16</v>
      </c>
      <c r="L230" s="4" t="s">
        <v>16</v>
      </c>
      <c r="M230" s="4" t="s">
        <v>65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">
        <v>45271.0</v>
      </c>
      <c r="B231" s="4">
        <v>2023.0</v>
      </c>
      <c r="C231" s="4">
        <v>11.0</v>
      </c>
      <c r="D231" s="4">
        <v>45.0</v>
      </c>
      <c r="E231" s="4" t="s">
        <v>28</v>
      </c>
      <c r="F231" s="4" t="s">
        <v>29</v>
      </c>
      <c r="G231" s="4" t="s">
        <v>19</v>
      </c>
      <c r="H231" s="4">
        <v>317.0</v>
      </c>
      <c r="I231" s="4">
        <v>2849.83</v>
      </c>
      <c r="J231" s="4">
        <v>8.99</v>
      </c>
      <c r="K231" s="4" t="s">
        <v>16</v>
      </c>
      <c r="L231" s="4" t="s">
        <v>16</v>
      </c>
      <c r="M231" s="4" t="s">
        <v>65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" t="s">
        <v>66</v>
      </c>
      <c r="B232" s="4">
        <v>2023.0</v>
      </c>
      <c r="C232" s="4">
        <v>11.0</v>
      </c>
      <c r="D232" s="4">
        <v>46.0</v>
      </c>
      <c r="E232" s="4" t="s">
        <v>13</v>
      </c>
      <c r="F232" s="4" t="s">
        <v>14</v>
      </c>
      <c r="G232" s="4" t="s">
        <v>15</v>
      </c>
      <c r="H232" s="4">
        <v>591.0</v>
      </c>
      <c r="I232" s="4">
        <v>7677.09</v>
      </c>
      <c r="J232" s="4">
        <v>12.99</v>
      </c>
      <c r="K232" s="4" t="s">
        <v>16</v>
      </c>
      <c r="L232" s="4" t="s">
        <v>16</v>
      </c>
      <c r="M232" s="4" t="s">
        <v>65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" t="s">
        <v>66</v>
      </c>
      <c r="B233" s="4">
        <v>2023.0</v>
      </c>
      <c r="C233" s="4">
        <v>11.0</v>
      </c>
      <c r="D233" s="4">
        <v>46.0</v>
      </c>
      <c r="E233" s="4" t="s">
        <v>17</v>
      </c>
      <c r="F233" s="4" t="s">
        <v>18</v>
      </c>
      <c r="G233" s="4" t="s">
        <v>19</v>
      </c>
      <c r="H233" s="4">
        <v>551.0</v>
      </c>
      <c r="I233" s="4">
        <v>8534.99</v>
      </c>
      <c r="J233" s="4">
        <v>15.49</v>
      </c>
      <c r="K233" s="4" t="s">
        <v>24</v>
      </c>
      <c r="L233" s="4" t="s">
        <v>16</v>
      </c>
      <c r="M233" s="4" t="s">
        <v>65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" t="s">
        <v>66</v>
      </c>
      <c r="B234" s="4">
        <v>2023.0</v>
      </c>
      <c r="C234" s="4">
        <v>11.0</v>
      </c>
      <c r="D234" s="4">
        <v>46.0</v>
      </c>
      <c r="E234" s="4" t="s">
        <v>21</v>
      </c>
      <c r="F234" s="4" t="s">
        <v>22</v>
      </c>
      <c r="G234" s="4" t="s">
        <v>23</v>
      </c>
      <c r="H234" s="4">
        <v>423.0</v>
      </c>
      <c r="I234" s="4">
        <v>1687.77</v>
      </c>
      <c r="J234" s="4">
        <v>3.99</v>
      </c>
      <c r="K234" s="4" t="s">
        <v>16</v>
      </c>
      <c r="L234" s="4" t="s">
        <v>16</v>
      </c>
      <c r="M234" s="4" t="s">
        <v>65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" t="s">
        <v>66</v>
      </c>
      <c r="B235" s="4">
        <v>2023.0</v>
      </c>
      <c r="C235" s="4">
        <v>11.0</v>
      </c>
      <c r="D235" s="4">
        <v>46.0</v>
      </c>
      <c r="E235" s="4" t="s">
        <v>25</v>
      </c>
      <c r="F235" s="4" t="s">
        <v>26</v>
      </c>
      <c r="G235" s="4" t="s">
        <v>27</v>
      </c>
      <c r="H235" s="4">
        <v>394.0</v>
      </c>
      <c r="I235" s="4">
        <v>1769.06</v>
      </c>
      <c r="J235" s="4">
        <v>4.49</v>
      </c>
      <c r="K235" s="4" t="s">
        <v>24</v>
      </c>
      <c r="L235" s="4" t="s">
        <v>16</v>
      </c>
      <c r="M235" s="4" t="s">
        <v>65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" t="s">
        <v>66</v>
      </c>
      <c r="B236" s="4">
        <v>2023.0</v>
      </c>
      <c r="C236" s="4">
        <v>11.0</v>
      </c>
      <c r="D236" s="4">
        <v>46.0</v>
      </c>
      <c r="E236" s="4" t="s">
        <v>28</v>
      </c>
      <c r="F236" s="4" t="s">
        <v>29</v>
      </c>
      <c r="G236" s="4" t="s">
        <v>19</v>
      </c>
      <c r="H236" s="4">
        <v>325.0</v>
      </c>
      <c r="I236" s="4">
        <v>2921.75</v>
      </c>
      <c r="J236" s="4">
        <v>8.99</v>
      </c>
      <c r="K236" s="4" t="s">
        <v>16</v>
      </c>
      <c r="L236" s="4" t="s">
        <v>16</v>
      </c>
      <c r="M236" s="4" t="s">
        <v>65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" t="s">
        <v>67</v>
      </c>
      <c r="B237" s="4">
        <v>2023.0</v>
      </c>
      <c r="C237" s="4">
        <v>11.0</v>
      </c>
      <c r="D237" s="4">
        <v>47.0</v>
      </c>
      <c r="E237" s="4" t="s">
        <v>13</v>
      </c>
      <c r="F237" s="4" t="s">
        <v>14</v>
      </c>
      <c r="G237" s="4" t="s">
        <v>15</v>
      </c>
      <c r="H237" s="4">
        <v>542.0</v>
      </c>
      <c r="I237" s="4">
        <v>7040.58</v>
      </c>
      <c r="J237" s="4">
        <v>12.99</v>
      </c>
      <c r="K237" s="4" t="s">
        <v>16</v>
      </c>
      <c r="L237" s="4" t="s">
        <v>16</v>
      </c>
      <c r="M237" s="4" t="s">
        <v>65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" t="s">
        <v>67</v>
      </c>
      <c r="B238" s="4">
        <v>2023.0</v>
      </c>
      <c r="C238" s="4">
        <v>11.0</v>
      </c>
      <c r="D238" s="4">
        <v>47.0</v>
      </c>
      <c r="E238" s="4" t="s">
        <v>17</v>
      </c>
      <c r="F238" s="4" t="s">
        <v>18</v>
      </c>
      <c r="G238" s="4" t="s">
        <v>19</v>
      </c>
      <c r="H238" s="4">
        <v>511.0</v>
      </c>
      <c r="I238" s="4">
        <v>7915.39</v>
      </c>
      <c r="J238" s="4">
        <v>15.49</v>
      </c>
      <c r="K238" s="4" t="s">
        <v>16</v>
      </c>
      <c r="L238" s="4" t="s">
        <v>16</v>
      </c>
      <c r="M238" s="4" t="s">
        <v>65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" t="s">
        <v>67</v>
      </c>
      <c r="B239" s="4">
        <v>2023.0</v>
      </c>
      <c r="C239" s="4">
        <v>11.0</v>
      </c>
      <c r="D239" s="4">
        <v>47.0</v>
      </c>
      <c r="E239" s="4" t="s">
        <v>21</v>
      </c>
      <c r="F239" s="4" t="s">
        <v>22</v>
      </c>
      <c r="G239" s="4" t="s">
        <v>23</v>
      </c>
      <c r="H239" s="4">
        <v>476.0</v>
      </c>
      <c r="I239" s="4">
        <v>1899.24</v>
      </c>
      <c r="J239" s="4">
        <v>3.99</v>
      </c>
      <c r="K239" s="4" t="s">
        <v>16</v>
      </c>
      <c r="L239" s="4" t="s">
        <v>16</v>
      </c>
      <c r="M239" s="4" t="s">
        <v>65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" t="s">
        <v>67</v>
      </c>
      <c r="B240" s="4">
        <v>2023.0</v>
      </c>
      <c r="C240" s="4">
        <v>11.0</v>
      </c>
      <c r="D240" s="4">
        <v>47.0</v>
      </c>
      <c r="E240" s="4" t="s">
        <v>25</v>
      </c>
      <c r="F240" s="4" t="s">
        <v>26</v>
      </c>
      <c r="G240" s="4" t="s">
        <v>27</v>
      </c>
      <c r="H240" s="4">
        <v>196.0</v>
      </c>
      <c r="I240" s="4">
        <v>880.04</v>
      </c>
      <c r="J240" s="4">
        <v>4.49</v>
      </c>
      <c r="K240" s="4" t="s">
        <v>16</v>
      </c>
      <c r="L240" s="4" t="s">
        <v>16</v>
      </c>
      <c r="M240" s="4" t="s">
        <v>65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" t="s">
        <v>67</v>
      </c>
      <c r="B241" s="4">
        <v>2023.0</v>
      </c>
      <c r="C241" s="4">
        <v>11.0</v>
      </c>
      <c r="D241" s="4">
        <v>47.0</v>
      </c>
      <c r="E241" s="4" t="s">
        <v>28</v>
      </c>
      <c r="F241" s="4" t="s">
        <v>29</v>
      </c>
      <c r="G241" s="4" t="s">
        <v>19</v>
      </c>
      <c r="H241" s="4">
        <v>415.0</v>
      </c>
      <c r="I241" s="4">
        <v>3730.85</v>
      </c>
      <c r="J241" s="4">
        <v>8.99</v>
      </c>
      <c r="K241" s="4" t="s">
        <v>16</v>
      </c>
      <c r="L241" s="4" t="s">
        <v>16</v>
      </c>
      <c r="M241" s="4" t="s">
        <v>65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">
        <v>44997.0</v>
      </c>
      <c r="B242" s="4">
        <v>2023.0</v>
      </c>
      <c r="C242" s="4">
        <v>12.0</v>
      </c>
      <c r="D242" s="4">
        <v>48.0</v>
      </c>
      <c r="E242" s="4" t="s">
        <v>13</v>
      </c>
      <c r="F242" s="4" t="s">
        <v>14</v>
      </c>
      <c r="G242" s="4" t="s">
        <v>15</v>
      </c>
      <c r="H242" s="4">
        <v>1218.0</v>
      </c>
      <c r="I242" s="4">
        <v>15821.82</v>
      </c>
      <c r="J242" s="4">
        <v>12.99</v>
      </c>
      <c r="K242" s="4" t="s">
        <v>24</v>
      </c>
      <c r="L242" s="4" t="s">
        <v>16</v>
      </c>
      <c r="M242" s="4" t="s">
        <v>68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">
        <v>44997.0</v>
      </c>
      <c r="B243" s="4">
        <v>2023.0</v>
      </c>
      <c r="C243" s="4">
        <v>12.0</v>
      </c>
      <c r="D243" s="4">
        <v>48.0</v>
      </c>
      <c r="E243" s="4" t="s">
        <v>17</v>
      </c>
      <c r="F243" s="4" t="s">
        <v>18</v>
      </c>
      <c r="G243" s="4" t="s">
        <v>19</v>
      </c>
      <c r="H243" s="4">
        <v>461.0</v>
      </c>
      <c r="I243" s="4">
        <v>7140.89</v>
      </c>
      <c r="J243" s="4">
        <v>15.49</v>
      </c>
      <c r="K243" s="4" t="s">
        <v>16</v>
      </c>
      <c r="L243" s="4" t="s">
        <v>16</v>
      </c>
      <c r="M243" s="4" t="s">
        <v>68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">
        <v>44997.0</v>
      </c>
      <c r="B244" s="4">
        <v>2023.0</v>
      </c>
      <c r="C244" s="4">
        <v>12.0</v>
      </c>
      <c r="D244" s="4">
        <v>48.0</v>
      </c>
      <c r="E244" s="4" t="s">
        <v>21</v>
      </c>
      <c r="F244" s="4" t="s">
        <v>22</v>
      </c>
      <c r="G244" s="4" t="s">
        <v>23</v>
      </c>
      <c r="H244" s="4">
        <v>424.0</v>
      </c>
      <c r="I244" s="4">
        <v>1691.76</v>
      </c>
      <c r="J244" s="4">
        <v>3.99</v>
      </c>
      <c r="K244" s="4" t="s">
        <v>16</v>
      </c>
      <c r="L244" s="4" t="s">
        <v>16</v>
      </c>
      <c r="M244" s="4" t="s">
        <v>68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">
        <v>44997.0</v>
      </c>
      <c r="B245" s="4">
        <v>2023.0</v>
      </c>
      <c r="C245" s="4">
        <v>12.0</v>
      </c>
      <c r="D245" s="4">
        <v>48.0</v>
      </c>
      <c r="E245" s="4" t="s">
        <v>25</v>
      </c>
      <c r="F245" s="4" t="s">
        <v>26</v>
      </c>
      <c r="G245" s="4" t="s">
        <v>27</v>
      </c>
      <c r="H245" s="4">
        <v>277.0</v>
      </c>
      <c r="I245" s="4">
        <v>1243.73</v>
      </c>
      <c r="J245" s="4">
        <v>4.49</v>
      </c>
      <c r="K245" s="4" t="s">
        <v>16</v>
      </c>
      <c r="L245" s="4" t="s">
        <v>16</v>
      </c>
      <c r="M245" s="4" t="s">
        <v>68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">
        <v>44997.0</v>
      </c>
      <c r="B246" s="4">
        <v>2023.0</v>
      </c>
      <c r="C246" s="4">
        <v>12.0</v>
      </c>
      <c r="D246" s="4">
        <v>48.0</v>
      </c>
      <c r="E246" s="4" t="s">
        <v>28</v>
      </c>
      <c r="F246" s="4" t="s">
        <v>29</v>
      </c>
      <c r="G246" s="4" t="s">
        <v>19</v>
      </c>
      <c r="H246" s="4">
        <v>420.0</v>
      </c>
      <c r="I246" s="4">
        <v>3775.8</v>
      </c>
      <c r="J246" s="4">
        <v>8.99</v>
      </c>
      <c r="K246" s="4" t="s">
        <v>16</v>
      </c>
      <c r="L246" s="4" t="s">
        <v>16</v>
      </c>
      <c r="M246" s="4" t="s">
        <v>68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">
        <v>45211.0</v>
      </c>
      <c r="B247" s="4">
        <v>2023.0</v>
      </c>
      <c r="C247" s="4">
        <v>12.0</v>
      </c>
      <c r="D247" s="4">
        <v>49.0</v>
      </c>
      <c r="E247" s="4" t="s">
        <v>13</v>
      </c>
      <c r="F247" s="4" t="s">
        <v>14</v>
      </c>
      <c r="G247" s="4" t="s">
        <v>15</v>
      </c>
      <c r="H247" s="4">
        <v>588.0</v>
      </c>
      <c r="I247" s="4">
        <v>7638.12</v>
      </c>
      <c r="J247" s="4">
        <v>12.99</v>
      </c>
      <c r="K247" s="4" t="s">
        <v>16</v>
      </c>
      <c r="L247" s="4" t="s">
        <v>16</v>
      </c>
      <c r="M247" s="4" t="s">
        <v>68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">
        <v>45211.0</v>
      </c>
      <c r="B248" s="4">
        <v>2023.0</v>
      </c>
      <c r="C248" s="4">
        <v>12.0</v>
      </c>
      <c r="D248" s="4">
        <v>49.0</v>
      </c>
      <c r="E248" s="4" t="s">
        <v>17</v>
      </c>
      <c r="F248" s="4" t="s">
        <v>18</v>
      </c>
      <c r="G248" s="4" t="s">
        <v>19</v>
      </c>
      <c r="H248" s="4">
        <v>456.0</v>
      </c>
      <c r="I248" s="4">
        <v>7063.44</v>
      </c>
      <c r="J248" s="4">
        <v>15.49</v>
      </c>
      <c r="K248" s="4" t="s">
        <v>16</v>
      </c>
      <c r="L248" s="4" t="s">
        <v>16</v>
      </c>
      <c r="M248" s="4" t="s">
        <v>68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">
        <v>45211.0</v>
      </c>
      <c r="B249" s="4">
        <v>2023.0</v>
      </c>
      <c r="C249" s="4">
        <v>12.0</v>
      </c>
      <c r="D249" s="4">
        <v>49.0</v>
      </c>
      <c r="E249" s="4" t="s">
        <v>21</v>
      </c>
      <c r="F249" s="4" t="s">
        <v>22</v>
      </c>
      <c r="G249" s="4" t="s">
        <v>23</v>
      </c>
      <c r="H249" s="4">
        <v>646.0</v>
      </c>
      <c r="I249" s="4">
        <v>2577.54</v>
      </c>
      <c r="J249" s="4">
        <v>3.99</v>
      </c>
      <c r="K249" s="4" t="s">
        <v>24</v>
      </c>
      <c r="L249" s="4" t="s">
        <v>16</v>
      </c>
      <c r="M249" s="4" t="s">
        <v>68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">
        <v>45211.0</v>
      </c>
      <c r="B250" s="4">
        <v>2023.0</v>
      </c>
      <c r="C250" s="4">
        <v>12.0</v>
      </c>
      <c r="D250" s="4">
        <v>49.0</v>
      </c>
      <c r="E250" s="4" t="s">
        <v>25</v>
      </c>
      <c r="F250" s="4" t="s">
        <v>26</v>
      </c>
      <c r="G250" s="4" t="s">
        <v>27</v>
      </c>
      <c r="H250" s="4">
        <v>228.0</v>
      </c>
      <c r="I250" s="4">
        <v>1023.72</v>
      </c>
      <c r="J250" s="4">
        <v>4.49</v>
      </c>
      <c r="K250" s="4" t="s">
        <v>16</v>
      </c>
      <c r="L250" s="4" t="s">
        <v>16</v>
      </c>
      <c r="M250" s="4" t="s">
        <v>68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">
        <v>45211.0</v>
      </c>
      <c r="B251" s="4">
        <v>2023.0</v>
      </c>
      <c r="C251" s="4">
        <v>12.0</v>
      </c>
      <c r="D251" s="4">
        <v>49.0</v>
      </c>
      <c r="E251" s="4" t="s">
        <v>28</v>
      </c>
      <c r="F251" s="4" t="s">
        <v>29</v>
      </c>
      <c r="G251" s="4" t="s">
        <v>19</v>
      </c>
      <c r="H251" s="4">
        <v>255.0</v>
      </c>
      <c r="I251" s="4">
        <v>2292.45</v>
      </c>
      <c r="J251" s="4">
        <v>8.99</v>
      </c>
      <c r="K251" s="4" t="s">
        <v>16</v>
      </c>
      <c r="L251" s="4" t="s">
        <v>16</v>
      </c>
      <c r="M251" s="4" t="s">
        <v>68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" t="s">
        <v>69</v>
      </c>
      <c r="B252" s="4">
        <v>2023.0</v>
      </c>
      <c r="C252" s="4">
        <v>12.0</v>
      </c>
      <c r="D252" s="4">
        <v>50.0</v>
      </c>
      <c r="E252" s="4" t="s">
        <v>13</v>
      </c>
      <c r="F252" s="4" t="s">
        <v>14</v>
      </c>
      <c r="G252" s="4" t="s">
        <v>15</v>
      </c>
      <c r="H252" s="4">
        <v>605.0</v>
      </c>
      <c r="I252" s="4">
        <v>7858.95</v>
      </c>
      <c r="J252" s="4">
        <v>12.99</v>
      </c>
      <c r="K252" s="4" t="s">
        <v>16</v>
      </c>
      <c r="L252" s="4" t="s">
        <v>16</v>
      </c>
      <c r="M252" s="4" t="s">
        <v>68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" t="s">
        <v>69</v>
      </c>
      <c r="B253" s="4">
        <v>2023.0</v>
      </c>
      <c r="C253" s="4">
        <v>12.0</v>
      </c>
      <c r="D253" s="4">
        <v>50.0</v>
      </c>
      <c r="E253" s="4" t="s">
        <v>17</v>
      </c>
      <c r="F253" s="4" t="s">
        <v>18</v>
      </c>
      <c r="G253" s="4" t="s">
        <v>19</v>
      </c>
      <c r="H253" s="4">
        <v>794.0</v>
      </c>
      <c r="I253" s="4">
        <v>12299.06</v>
      </c>
      <c r="J253" s="4">
        <v>15.49</v>
      </c>
      <c r="K253" s="4" t="s">
        <v>24</v>
      </c>
      <c r="L253" s="4" t="s">
        <v>16</v>
      </c>
      <c r="M253" s="4" t="s">
        <v>68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" t="s">
        <v>69</v>
      </c>
      <c r="B254" s="4">
        <v>2023.0</v>
      </c>
      <c r="C254" s="4">
        <v>12.0</v>
      </c>
      <c r="D254" s="4">
        <v>50.0</v>
      </c>
      <c r="E254" s="4" t="s">
        <v>21</v>
      </c>
      <c r="F254" s="4" t="s">
        <v>22</v>
      </c>
      <c r="G254" s="4" t="s">
        <v>23</v>
      </c>
      <c r="H254" s="4">
        <v>236.0</v>
      </c>
      <c r="I254" s="4">
        <v>941.64</v>
      </c>
      <c r="J254" s="4">
        <v>3.99</v>
      </c>
      <c r="K254" s="4" t="s">
        <v>16</v>
      </c>
      <c r="L254" s="4" t="s">
        <v>16</v>
      </c>
      <c r="M254" s="4" t="s">
        <v>68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" t="s">
        <v>69</v>
      </c>
      <c r="B255" s="4">
        <v>2023.0</v>
      </c>
      <c r="C255" s="4">
        <v>12.0</v>
      </c>
      <c r="D255" s="4">
        <v>50.0</v>
      </c>
      <c r="E255" s="4" t="s">
        <v>25</v>
      </c>
      <c r="F255" s="4" t="s">
        <v>26</v>
      </c>
      <c r="G255" s="4" t="s">
        <v>27</v>
      </c>
      <c r="H255" s="4">
        <v>267.0</v>
      </c>
      <c r="I255" s="4">
        <v>1198.83</v>
      </c>
      <c r="J255" s="4">
        <v>4.49</v>
      </c>
      <c r="K255" s="4" t="s">
        <v>16</v>
      </c>
      <c r="L255" s="4" t="s">
        <v>16</v>
      </c>
      <c r="M255" s="4" t="s">
        <v>68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" t="s">
        <v>69</v>
      </c>
      <c r="B256" s="4">
        <v>2023.0</v>
      </c>
      <c r="C256" s="4">
        <v>12.0</v>
      </c>
      <c r="D256" s="4">
        <v>50.0</v>
      </c>
      <c r="E256" s="4" t="s">
        <v>28</v>
      </c>
      <c r="F256" s="4" t="s">
        <v>29</v>
      </c>
      <c r="G256" s="4" t="s">
        <v>19</v>
      </c>
      <c r="H256" s="4">
        <v>457.0</v>
      </c>
      <c r="I256" s="4">
        <v>4108.43</v>
      </c>
      <c r="J256" s="4">
        <v>8.99</v>
      </c>
      <c r="K256" s="4" t="s">
        <v>24</v>
      </c>
      <c r="L256" s="4" t="s">
        <v>16</v>
      </c>
      <c r="M256" s="4" t="s">
        <v>68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" t="s">
        <v>70</v>
      </c>
      <c r="B257" s="4">
        <v>2023.0</v>
      </c>
      <c r="C257" s="4">
        <v>12.0</v>
      </c>
      <c r="D257" s="4">
        <v>51.0</v>
      </c>
      <c r="E257" s="4" t="s">
        <v>13</v>
      </c>
      <c r="F257" s="4" t="s">
        <v>14</v>
      </c>
      <c r="G257" s="4" t="s">
        <v>15</v>
      </c>
      <c r="H257" s="4">
        <v>532.0</v>
      </c>
      <c r="I257" s="4">
        <v>6910.68</v>
      </c>
      <c r="J257" s="4">
        <v>12.99</v>
      </c>
      <c r="K257" s="4" t="s">
        <v>16</v>
      </c>
      <c r="L257" s="4" t="s">
        <v>16</v>
      </c>
      <c r="M257" s="4" t="s">
        <v>68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" t="s">
        <v>70</v>
      </c>
      <c r="B258" s="4">
        <v>2023.0</v>
      </c>
      <c r="C258" s="4">
        <v>12.0</v>
      </c>
      <c r="D258" s="4">
        <v>51.0</v>
      </c>
      <c r="E258" s="4" t="s">
        <v>17</v>
      </c>
      <c r="F258" s="4" t="s">
        <v>18</v>
      </c>
      <c r="G258" s="4" t="s">
        <v>19</v>
      </c>
      <c r="H258" s="4">
        <v>454.0</v>
      </c>
      <c r="I258" s="4">
        <v>7032.46</v>
      </c>
      <c r="J258" s="4">
        <v>15.49</v>
      </c>
      <c r="K258" s="4" t="s">
        <v>16</v>
      </c>
      <c r="L258" s="4" t="s">
        <v>16</v>
      </c>
      <c r="M258" s="4" t="s">
        <v>68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" t="s">
        <v>70</v>
      </c>
      <c r="B259" s="4">
        <v>2023.0</v>
      </c>
      <c r="C259" s="4">
        <v>12.0</v>
      </c>
      <c r="D259" s="4">
        <v>51.0</v>
      </c>
      <c r="E259" s="4" t="s">
        <v>21</v>
      </c>
      <c r="F259" s="4" t="s">
        <v>22</v>
      </c>
      <c r="G259" s="4" t="s">
        <v>23</v>
      </c>
      <c r="H259" s="4">
        <v>395.0</v>
      </c>
      <c r="I259" s="4">
        <v>1576.05</v>
      </c>
      <c r="J259" s="4">
        <v>3.99</v>
      </c>
      <c r="K259" s="4" t="s">
        <v>16</v>
      </c>
      <c r="L259" s="4" t="s">
        <v>16</v>
      </c>
      <c r="M259" s="4" t="s">
        <v>68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" t="s">
        <v>70</v>
      </c>
      <c r="B260" s="4">
        <v>2023.0</v>
      </c>
      <c r="C260" s="4">
        <v>12.0</v>
      </c>
      <c r="D260" s="4">
        <v>51.0</v>
      </c>
      <c r="E260" s="4" t="s">
        <v>25</v>
      </c>
      <c r="F260" s="4" t="s">
        <v>26</v>
      </c>
      <c r="G260" s="4" t="s">
        <v>27</v>
      </c>
      <c r="H260" s="4">
        <v>268.0</v>
      </c>
      <c r="I260" s="4">
        <v>1203.32</v>
      </c>
      <c r="J260" s="4">
        <v>4.49</v>
      </c>
      <c r="K260" s="4" t="s">
        <v>16</v>
      </c>
      <c r="L260" s="4" t="s">
        <v>16</v>
      </c>
      <c r="M260" s="4" t="s">
        <v>68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" t="s">
        <v>70</v>
      </c>
      <c r="B261" s="4">
        <v>2023.0</v>
      </c>
      <c r="C261" s="4">
        <v>12.0</v>
      </c>
      <c r="D261" s="4">
        <v>51.0</v>
      </c>
      <c r="E261" s="4" t="s">
        <v>28</v>
      </c>
      <c r="F261" s="4" t="s">
        <v>29</v>
      </c>
      <c r="G261" s="4" t="s">
        <v>19</v>
      </c>
      <c r="H261" s="4">
        <v>312.0</v>
      </c>
      <c r="I261" s="4">
        <v>2804.88</v>
      </c>
      <c r="J261" s="4">
        <v>8.99</v>
      </c>
      <c r="K261" s="4" t="s">
        <v>16</v>
      </c>
      <c r="L261" s="4" t="s">
        <v>16</v>
      </c>
      <c r="M261" s="4" t="s">
        <v>68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" t="s">
        <v>71</v>
      </c>
      <c r="B262" s="4">
        <v>2023.0</v>
      </c>
      <c r="C262" s="4">
        <v>12.0</v>
      </c>
      <c r="D262" s="4">
        <v>52.0</v>
      </c>
      <c r="E262" s="4" t="s">
        <v>13</v>
      </c>
      <c r="F262" s="4" t="s">
        <v>14</v>
      </c>
      <c r="G262" s="4" t="s">
        <v>15</v>
      </c>
      <c r="H262" s="4">
        <v>384.0</v>
      </c>
      <c r="I262" s="4">
        <v>4988.16</v>
      </c>
      <c r="J262" s="4">
        <v>12.99</v>
      </c>
      <c r="K262" s="4" t="s">
        <v>16</v>
      </c>
      <c r="L262" s="4" t="s">
        <v>16</v>
      </c>
      <c r="M262" s="4" t="s">
        <v>68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" t="s">
        <v>71</v>
      </c>
      <c r="B263" s="4">
        <v>2023.0</v>
      </c>
      <c r="C263" s="4">
        <v>12.0</v>
      </c>
      <c r="D263" s="4">
        <v>52.0</v>
      </c>
      <c r="E263" s="4" t="s">
        <v>17</v>
      </c>
      <c r="F263" s="4" t="s">
        <v>18</v>
      </c>
      <c r="G263" s="4" t="s">
        <v>19</v>
      </c>
      <c r="H263" s="4">
        <v>528.0</v>
      </c>
      <c r="I263" s="4">
        <v>8178.72</v>
      </c>
      <c r="J263" s="4">
        <v>15.49</v>
      </c>
      <c r="K263" s="4" t="s">
        <v>16</v>
      </c>
      <c r="L263" s="4" t="s">
        <v>16</v>
      </c>
      <c r="M263" s="4" t="s">
        <v>68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" t="s">
        <v>71</v>
      </c>
      <c r="B264" s="4">
        <v>2023.0</v>
      </c>
      <c r="C264" s="4">
        <v>12.0</v>
      </c>
      <c r="D264" s="4">
        <v>52.0</v>
      </c>
      <c r="E264" s="4" t="s">
        <v>21</v>
      </c>
      <c r="F264" s="4" t="s">
        <v>22</v>
      </c>
      <c r="G264" s="4" t="s">
        <v>23</v>
      </c>
      <c r="H264" s="4">
        <v>313.0</v>
      </c>
      <c r="I264" s="4">
        <v>1248.87</v>
      </c>
      <c r="J264" s="4">
        <v>3.99</v>
      </c>
      <c r="K264" s="4" t="s">
        <v>16</v>
      </c>
      <c r="L264" s="4" t="s">
        <v>16</v>
      </c>
      <c r="M264" s="4" t="s">
        <v>68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" t="s">
        <v>71</v>
      </c>
      <c r="B265" s="4">
        <v>2023.0</v>
      </c>
      <c r="C265" s="4">
        <v>12.0</v>
      </c>
      <c r="D265" s="4">
        <v>52.0</v>
      </c>
      <c r="E265" s="4" t="s">
        <v>25</v>
      </c>
      <c r="F265" s="4" t="s">
        <v>26</v>
      </c>
      <c r="G265" s="4" t="s">
        <v>27</v>
      </c>
      <c r="H265" s="4">
        <v>333.0</v>
      </c>
      <c r="I265" s="4">
        <v>1495.17</v>
      </c>
      <c r="J265" s="4">
        <v>4.49</v>
      </c>
      <c r="K265" s="4" t="s">
        <v>24</v>
      </c>
      <c r="L265" s="4" t="s">
        <v>16</v>
      </c>
      <c r="M265" s="4" t="s">
        <v>68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" t="s">
        <v>71</v>
      </c>
      <c r="B266" s="4">
        <v>2023.0</v>
      </c>
      <c r="C266" s="4">
        <v>12.0</v>
      </c>
      <c r="D266" s="4">
        <v>52.0</v>
      </c>
      <c r="E266" s="4" t="s">
        <v>28</v>
      </c>
      <c r="F266" s="4" t="s">
        <v>29</v>
      </c>
      <c r="G266" s="4" t="s">
        <v>19</v>
      </c>
      <c r="H266" s="4">
        <v>544.0</v>
      </c>
      <c r="I266" s="4">
        <v>4890.56</v>
      </c>
      <c r="J266" s="4">
        <v>8.99</v>
      </c>
      <c r="K266" s="4" t="s">
        <v>24</v>
      </c>
      <c r="L266" s="4" t="s">
        <v>16</v>
      </c>
      <c r="M266" s="4" t="s">
        <v>68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">
        <v>45474.0</v>
      </c>
      <c r="B267" s="4">
        <v>2024.0</v>
      </c>
      <c r="C267" s="4">
        <v>1.0</v>
      </c>
      <c r="D267" s="4">
        <v>1.0</v>
      </c>
      <c r="E267" s="4" t="s">
        <v>13</v>
      </c>
      <c r="F267" s="4" t="s">
        <v>14</v>
      </c>
      <c r="G267" s="4" t="s">
        <v>15</v>
      </c>
      <c r="H267" s="4">
        <v>479.0</v>
      </c>
      <c r="I267" s="4">
        <v>6222.21</v>
      </c>
      <c r="J267" s="4">
        <v>12.99</v>
      </c>
      <c r="K267" s="4" t="s">
        <v>16</v>
      </c>
      <c r="L267" s="4" t="s">
        <v>16</v>
      </c>
      <c r="M267" s="4" t="s">
        <v>20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">
        <v>45474.0</v>
      </c>
      <c r="B268" s="4">
        <v>2024.0</v>
      </c>
      <c r="C268" s="4">
        <v>1.0</v>
      </c>
      <c r="D268" s="4">
        <v>1.0</v>
      </c>
      <c r="E268" s="4" t="s">
        <v>17</v>
      </c>
      <c r="F268" s="4" t="s">
        <v>18</v>
      </c>
      <c r="G268" s="4" t="s">
        <v>19</v>
      </c>
      <c r="H268" s="4">
        <v>263.0</v>
      </c>
      <c r="I268" s="4">
        <v>4073.87</v>
      </c>
      <c r="J268" s="4">
        <v>15.49</v>
      </c>
      <c r="K268" s="4" t="s">
        <v>16</v>
      </c>
      <c r="L268" s="4" t="s">
        <v>16</v>
      </c>
      <c r="M268" s="4" t="s">
        <v>20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">
        <v>45474.0</v>
      </c>
      <c r="B269" s="4">
        <v>2024.0</v>
      </c>
      <c r="C269" s="4">
        <v>1.0</v>
      </c>
      <c r="D269" s="4">
        <v>1.0</v>
      </c>
      <c r="E269" s="4" t="s">
        <v>21</v>
      </c>
      <c r="F269" s="4" t="s">
        <v>22</v>
      </c>
      <c r="G269" s="4" t="s">
        <v>23</v>
      </c>
      <c r="H269" s="4">
        <v>376.0</v>
      </c>
      <c r="I269" s="4">
        <v>1500.24</v>
      </c>
      <c r="J269" s="4">
        <v>3.99</v>
      </c>
      <c r="K269" s="4" t="s">
        <v>24</v>
      </c>
      <c r="L269" s="4" t="s">
        <v>16</v>
      </c>
      <c r="M269" s="4" t="s">
        <v>20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">
        <v>45474.0</v>
      </c>
      <c r="B270" s="4">
        <v>2024.0</v>
      </c>
      <c r="C270" s="4">
        <v>1.0</v>
      </c>
      <c r="D270" s="4">
        <v>1.0</v>
      </c>
      <c r="E270" s="4" t="s">
        <v>25</v>
      </c>
      <c r="F270" s="4" t="s">
        <v>26</v>
      </c>
      <c r="G270" s="4" t="s">
        <v>27</v>
      </c>
      <c r="H270" s="4">
        <v>188.0</v>
      </c>
      <c r="I270" s="4">
        <v>844.12</v>
      </c>
      <c r="J270" s="4">
        <v>4.49</v>
      </c>
      <c r="K270" s="4" t="s">
        <v>16</v>
      </c>
      <c r="L270" s="4" t="s">
        <v>16</v>
      </c>
      <c r="M270" s="4" t="s">
        <v>20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">
        <v>45474.0</v>
      </c>
      <c r="B271" s="4">
        <v>2024.0</v>
      </c>
      <c r="C271" s="4">
        <v>1.0</v>
      </c>
      <c r="D271" s="4">
        <v>1.0</v>
      </c>
      <c r="E271" s="4" t="s">
        <v>28</v>
      </c>
      <c r="F271" s="4" t="s">
        <v>29</v>
      </c>
      <c r="G271" s="4" t="s">
        <v>19</v>
      </c>
      <c r="H271" s="4">
        <v>229.0</v>
      </c>
      <c r="I271" s="4">
        <v>2058.71</v>
      </c>
      <c r="J271" s="4">
        <v>8.99</v>
      </c>
      <c r="K271" s="4" t="s">
        <v>16</v>
      </c>
      <c r="L271" s="4" t="s">
        <v>16</v>
      </c>
      <c r="M271" s="4" t="s">
        <v>20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" t="s">
        <v>72</v>
      </c>
      <c r="B272" s="4">
        <v>2024.0</v>
      </c>
      <c r="C272" s="4">
        <v>1.0</v>
      </c>
      <c r="D272" s="4">
        <v>2.0</v>
      </c>
      <c r="E272" s="4" t="s">
        <v>13</v>
      </c>
      <c r="F272" s="4" t="s">
        <v>14</v>
      </c>
      <c r="G272" s="4" t="s">
        <v>15</v>
      </c>
      <c r="H272" s="4">
        <v>614.0</v>
      </c>
      <c r="I272" s="4">
        <v>7975.86</v>
      </c>
      <c r="J272" s="4">
        <v>12.99</v>
      </c>
      <c r="K272" s="4" t="s">
        <v>24</v>
      </c>
      <c r="L272" s="4" t="s">
        <v>16</v>
      </c>
      <c r="M272" s="4" t="s">
        <v>20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" t="s">
        <v>72</v>
      </c>
      <c r="B273" s="4">
        <v>2024.0</v>
      </c>
      <c r="C273" s="4">
        <v>1.0</v>
      </c>
      <c r="D273" s="4">
        <v>2.0</v>
      </c>
      <c r="E273" s="4" t="s">
        <v>17</v>
      </c>
      <c r="F273" s="4" t="s">
        <v>18</v>
      </c>
      <c r="G273" s="4" t="s">
        <v>19</v>
      </c>
      <c r="H273" s="4">
        <v>81.0</v>
      </c>
      <c r="I273" s="4">
        <v>1254.69</v>
      </c>
      <c r="J273" s="4">
        <v>15.49</v>
      </c>
      <c r="K273" s="4" t="s">
        <v>16</v>
      </c>
      <c r="L273" s="4" t="s">
        <v>24</v>
      </c>
      <c r="M273" s="4" t="s">
        <v>20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" t="s">
        <v>72</v>
      </c>
      <c r="B274" s="4">
        <v>2024.0</v>
      </c>
      <c r="C274" s="4">
        <v>1.0</v>
      </c>
      <c r="D274" s="4">
        <v>2.0</v>
      </c>
      <c r="E274" s="4" t="s">
        <v>21</v>
      </c>
      <c r="F274" s="4" t="s">
        <v>22</v>
      </c>
      <c r="G274" s="4" t="s">
        <v>23</v>
      </c>
      <c r="H274" s="4">
        <v>263.0</v>
      </c>
      <c r="I274" s="4">
        <v>1049.37</v>
      </c>
      <c r="J274" s="4">
        <v>3.99</v>
      </c>
      <c r="K274" s="4" t="s">
        <v>16</v>
      </c>
      <c r="L274" s="4" t="s">
        <v>16</v>
      </c>
      <c r="M274" s="4" t="s">
        <v>20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" t="s">
        <v>72</v>
      </c>
      <c r="B275" s="4">
        <v>2024.0</v>
      </c>
      <c r="C275" s="4">
        <v>1.0</v>
      </c>
      <c r="D275" s="4">
        <v>2.0</v>
      </c>
      <c r="E275" s="4" t="s">
        <v>25</v>
      </c>
      <c r="F275" s="4" t="s">
        <v>26</v>
      </c>
      <c r="G275" s="4" t="s">
        <v>27</v>
      </c>
      <c r="H275" s="4">
        <v>138.0</v>
      </c>
      <c r="I275" s="4">
        <v>619.62</v>
      </c>
      <c r="J275" s="4">
        <v>4.49</v>
      </c>
      <c r="K275" s="4" t="s">
        <v>16</v>
      </c>
      <c r="L275" s="4" t="s">
        <v>16</v>
      </c>
      <c r="M275" s="4" t="s">
        <v>20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" t="s">
        <v>72</v>
      </c>
      <c r="B276" s="4">
        <v>2024.0</v>
      </c>
      <c r="C276" s="4">
        <v>1.0</v>
      </c>
      <c r="D276" s="4">
        <v>2.0</v>
      </c>
      <c r="E276" s="4" t="s">
        <v>28</v>
      </c>
      <c r="F276" s="4" t="s">
        <v>29</v>
      </c>
      <c r="G276" s="4" t="s">
        <v>19</v>
      </c>
      <c r="H276" s="4">
        <v>192.0</v>
      </c>
      <c r="I276" s="4">
        <v>1726.08</v>
      </c>
      <c r="J276" s="4">
        <v>8.99</v>
      </c>
      <c r="K276" s="4" t="s">
        <v>16</v>
      </c>
      <c r="L276" s="4" t="s">
        <v>16</v>
      </c>
      <c r="M276" s="4" t="s">
        <v>20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" t="s">
        <v>73</v>
      </c>
      <c r="B277" s="4">
        <v>2024.0</v>
      </c>
      <c r="C277" s="4">
        <v>1.0</v>
      </c>
      <c r="D277" s="4">
        <v>3.0</v>
      </c>
      <c r="E277" s="4" t="s">
        <v>13</v>
      </c>
      <c r="F277" s="4" t="s">
        <v>14</v>
      </c>
      <c r="G277" s="4" t="s">
        <v>15</v>
      </c>
      <c r="H277" s="4">
        <v>318.0</v>
      </c>
      <c r="I277" s="4">
        <v>4130.82</v>
      </c>
      <c r="J277" s="4">
        <v>12.99</v>
      </c>
      <c r="K277" s="4" t="s">
        <v>16</v>
      </c>
      <c r="L277" s="4" t="s">
        <v>16</v>
      </c>
      <c r="M277" s="4" t="s">
        <v>20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" t="s">
        <v>73</v>
      </c>
      <c r="B278" s="4">
        <v>2024.0</v>
      </c>
      <c r="C278" s="4">
        <v>1.0</v>
      </c>
      <c r="D278" s="4">
        <v>3.0</v>
      </c>
      <c r="E278" s="4" t="s">
        <v>17</v>
      </c>
      <c r="F278" s="4" t="s">
        <v>18</v>
      </c>
      <c r="G278" s="4" t="s">
        <v>19</v>
      </c>
      <c r="H278" s="4">
        <v>197.0</v>
      </c>
      <c r="I278" s="4">
        <v>3051.53</v>
      </c>
      <c r="J278" s="4">
        <v>15.49</v>
      </c>
      <c r="K278" s="4" t="s">
        <v>16</v>
      </c>
      <c r="L278" s="4" t="s">
        <v>16</v>
      </c>
      <c r="M278" s="4" t="s">
        <v>20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" t="s">
        <v>73</v>
      </c>
      <c r="B279" s="4">
        <v>2024.0</v>
      </c>
      <c r="C279" s="4">
        <v>1.0</v>
      </c>
      <c r="D279" s="4">
        <v>3.0</v>
      </c>
      <c r="E279" s="4" t="s">
        <v>21</v>
      </c>
      <c r="F279" s="4" t="s">
        <v>22</v>
      </c>
      <c r="G279" s="4" t="s">
        <v>23</v>
      </c>
      <c r="H279" s="4">
        <v>314.0</v>
      </c>
      <c r="I279" s="4">
        <v>1252.86</v>
      </c>
      <c r="J279" s="4">
        <v>3.99</v>
      </c>
      <c r="K279" s="4" t="s">
        <v>16</v>
      </c>
      <c r="L279" s="4" t="s">
        <v>16</v>
      </c>
      <c r="M279" s="4" t="s">
        <v>20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" t="s">
        <v>73</v>
      </c>
      <c r="B280" s="4">
        <v>2024.0</v>
      </c>
      <c r="C280" s="4">
        <v>1.0</v>
      </c>
      <c r="D280" s="4">
        <v>3.0</v>
      </c>
      <c r="E280" s="4" t="s">
        <v>25</v>
      </c>
      <c r="F280" s="4" t="s">
        <v>26</v>
      </c>
      <c r="G280" s="4" t="s">
        <v>27</v>
      </c>
      <c r="H280" s="4">
        <v>169.0</v>
      </c>
      <c r="I280" s="4">
        <v>758.81</v>
      </c>
      <c r="J280" s="4">
        <v>4.49</v>
      </c>
      <c r="K280" s="4" t="s">
        <v>16</v>
      </c>
      <c r="L280" s="4" t="s">
        <v>16</v>
      </c>
      <c r="M280" s="4" t="s">
        <v>20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" t="s">
        <v>73</v>
      </c>
      <c r="B281" s="4">
        <v>2024.0</v>
      </c>
      <c r="C281" s="4">
        <v>1.0</v>
      </c>
      <c r="D281" s="4">
        <v>3.0</v>
      </c>
      <c r="E281" s="4" t="s">
        <v>28</v>
      </c>
      <c r="F281" s="4" t="s">
        <v>29</v>
      </c>
      <c r="G281" s="4" t="s">
        <v>19</v>
      </c>
      <c r="H281" s="4">
        <v>75.0</v>
      </c>
      <c r="I281" s="4">
        <v>674.25</v>
      </c>
      <c r="J281" s="4">
        <v>8.99</v>
      </c>
      <c r="K281" s="4" t="s">
        <v>16</v>
      </c>
      <c r="L281" s="4" t="s">
        <v>24</v>
      </c>
      <c r="M281" s="4" t="s">
        <v>20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" t="s">
        <v>74</v>
      </c>
      <c r="B282" s="4">
        <v>2024.0</v>
      </c>
      <c r="C282" s="4">
        <v>1.0</v>
      </c>
      <c r="D282" s="4">
        <v>4.0</v>
      </c>
      <c r="E282" s="4" t="s">
        <v>13</v>
      </c>
      <c r="F282" s="4" t="s">
        <v>14</v>
      </c>
      <c r="G282" s="4" t="s">
        <v>15</v>
      </c>
      <c r="H282" s="4">
        <v>422.0</v>
      </c>
      <c r="I282" s="4">
        <v>5481.78</v>
      </c>
      <c r="J282" s="4">
        <v>12.99</v>
      </c>
      <c r="K282" s="4" t="s">
        <v>16</v>
      </c>
      <c r="L282" s="4" t="s">
        <v>16</v>
      </c>
      <c r="M282" s="4" t="s">
        <v>20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" t="s">
        <v>74</v>
      </c>
      <c r="B283" s="4">
        <v>2024.0</v>
      </c>
      <c r="C283" s="4">
        <v>1.0</v>
      </c>
      <c r="D283" s="4">
        <v>4.0</v>
      </c>
      <c r="E283" s="4" t="s">
        <v>17</v>
      </c>
      <c r="F283" s="4" t="s">
        <v>18</v>
      </c>
      <c r="G283" s="4" t="s">
        <v>19</v>
      </c>
      <c r="H283" s="4">
        <v>298.0</v>
      </c>
      <c r="I283" s="4">
        <v>4616.02</v>
      </c>
      <c r="J283" s="4">
        <v>15.49</v>
      </c>
      <c r="K283" s="4" t="s">
        <v>24</v>
      </c>
      <c r="L283" s="4" t="s">
        <v>16</v>
      </c>
      <c r="M283" s="4" t="s">
        <v>20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" t="s">
        <v>74</v>
      </c>
      <c r="B284" s="4">
        <v>2024.0</v>
      </c>
      <c r="C284" s="4">
        <v>1.0</v>
      </c>
      <c r="D284" s="4">
        <v>4.0</v>
      </c>
      <c r="E284" s="4" t="s">
        <v>21</v>
      </c>
      <c r="F284" s="4" t="s">
        <v>22</v>
      </c>
      <c r="G284" s="4" t="s">
        <v>23</v>
      </c>
      <c r="H284" s="4">
        <v>252.0</v>
      </c>
      <c r="I284" s="4">
        <v>1005.48</v>
      </c>
      <c r="J284" s="4">
        <v>3.99</v>
      </c>
      <c r="K284" s="4" t="s">
        <v>16</v>
      </c>
      <c r="L284" s="4" t="s">
        <v>16</v>
      </c>
      <c r="M284" s="4" t="s">
        <v>20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" t="s">
        <v>74</v>
      </c>
      <c r="B285" s="4">
        <v>2024.0</v>
      </c>
      <c r="C285" s="4">
        <v>1.0</v>
      </c>
      <c r="D285" s="4">
        <v>4.0</v>
      </c>
      <c r="E285" s="4" t="s">
        <v>25</v>
      </c>
      <c r="F285" s="4" t="s">
        <v>26</v>
      </c>
      <c r="G285" s="4" t="s">
        <v>27</v>
      </c>
      <c r="H285" s="4">
        <v>251.0</v>
      </c>
      <c r="I285" s="4">
        <v>1126.99</v>
      </c>
      <c r="J285" s="4">
        <v>4.49</v>
      </c>
      <c r="K285" s="4" t="s">
        <v>24</v>
      </c>
      <c r="L285" s="4" t="s">
        <v>16</v>
      </c>
      <c r="M285" s="4" t="s">
        <v>20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" t="s">
        <v>74</v>
      </c>
      <c r="B286" s="4">
        <v>2024.0</v>
      </c>
      <c r="C286" s="4">
        <v>1.0</v>
      </c>
      <c r="D286" s="4">
        <v>4.0</v>
      </c>
      <c r="E286" s="4" t="s">
        <v>28</v>
      </c>
      <c r="F286" s="4" t="s">
        <v>29</v>
      </c>
      <c r="G286" s="4" t="s">
        <v>19</v>
      </c>
      <c r="H286" s="4">
        <v>221.0</v>
      </c>
      <c r="I286" s="4">
        <v>1986.79</v>
      </c>
      <c r="J286" s="4">
        <v>8.99</v>
      </c>
      <c r="K286" s="4" t="s">
        <v>16</v>
      </c>
      <c r="L286" s="4" t="s">
        <v>16</v>
      </c>
      <c r="M286" s="4" t="s">
        <v>20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">
        <v>45384.0</v>
      </c>
      <c r="B287" s="4">
        <v>2024.0</v>
      </c>
      <c r="C287" s="4">
        <v>2.0</v>
      </c>
      <c r="D287" s="4">
        <v>5.0</v>
      </c>
      <c r="E287" s="4" t="s">
        <v>13</v>
      </c>
      <c r="F287" s="4" t="s">
        <v>14</v>
      </c>
      <c r="G287" s="4" t="s">
        <v>15</v>
      </c>
      <c r="H287" s="4">
        <v>405.0</v>
      </c>
      <c r="I287" s="4">
        <v>5260.95</v>
      </c>
      <c r="J287" s="4">
        <v>12.99</v>
      </c>
      <c r="K287" s="4" t="s">
        <v>16</v>
      </c>
      <c r="L287" s="4" t="s">
        <v>16</v>
      </c>
      <c r="M287" s="4" t="s">
        <v>33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">
        <v>45384.0</v>
      </c>
      <c r="B288" s="4">
        <v>2024.0</v>
      </c>
      <c r="C288" s="4">
        <v>2.0</v>
      </c>
      <c r="D288" s="4">
        <v>5.0</v>
      </c>
      <c r="E288" s="4" t="s">
        <v>17</v>
      </c>
      <c r="F288" s="4" t="s">
        <v>18</v>
      </c>
      <c r="G288" s="4" t="s">
        <v>19</v>
      </c>
      <c r="H288" s="4">
        <v>351.0</v>
      </c>
      <c r="I288" s="4">
        <v>5436.99</v>
      </c>
      <c r="J288" s="4">
        <v>15.49</v>
      </c>
      <c r="K288" s="4" t="s">
        <v>16</v>
      </c>
      <c r="L288" s="4" t="s">
        <v>16</v>
      </c>
      <c r="M288" s="4" t="s">
        <v>33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">
        <v>45384.0</v>
      </c>
      <c r="B289" s="4">
        <v>2024.0</v>
      </c>
      <c r="C289" s="4">
        <v>2.0</v>
      </c>
      <c r="D289" s="4">
        <v>5.0</v>
      </c>
      <c r="E289" s="4" t="s">
        <v>21</v>
      </c>
      <c r="F289" s="4" t="s">
        <v>22</v>
      </c>
      <c r="G289" s="4" t="s">
        <v>23</v>
      </c>
      <c r="H289" s="4">
        <v>339.0</v>
      </c>
      <c r="I289" s="4">
        <v>1352.61</v>
      </c>
      <c r="J289" s="4">
        <v>3.99</v>
      </c>
      <c r="K289" s="4" t="s">
        <v>16</v>
      </c>
      <c r="L289" s="4" t="s">
        <v>16</v>
      </c>
      <c r="M289" s="4" t="s">
        <v>33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">
        <v>45384.0</v>
      </c>
      <c r="B290" s="4">
        <v>2024.0</v>
      </c>
      <c r="C290" s="4">
        <v>2.0</v>
      </c>
      <c r="D290" s="4">
        <v>5.0</v>
      </c>
      <c r="E290" s="4" t="s">
        <v>25</v>
      </c>
      <c r="F290" s="4" t="s">
        <v>26</v>
      </c>
      <c r="G290" s="4" t="s">
        <v>27</v>
      </c>
      <c r="H290" s="4">
        <v>43.0</v>
      </c>
      <c r="I290" s="4">
        <v>193.07</v>
      </c>
      <c r="J290" s="4">
        <v>4.49</v>
      </c>
      <c r="K290" s="4" t="s">
        <v>16</v>
      </c>
      <c r="L290" s="4" t="s">
        <v>24</v>
      </c>
      <c r="M290" s="4" t="s">
        <v>33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">
        <v>45384.0</v>
      </c>
      <c r="B291" s="4">
        <v>2024.0</v>
      </c>
      <c r="C291" s="4">
        <v>2.0</v>
      </c>
      <c r="D291" s="4">
        <v>5.0</v>
      </c>
      <c r="E291" s="4" t="s">
        <v>28</v>
      </c>
      <c r="F291" s="4" t="s">
        <v>29</v>
      </c>
      <c r="G291" s="4" t="s">
        <v>19</v>
      </c>
      <c r="H291" s="4">
        <v>204.0</v>
      </c>
      <c r="I291" s="4">
        <v>1833.96</v>
      </c>
      <c r="J291" s="4">
        <v>8.99</v>
      </c>
      <c r="K291" s="4" t="s">
        <v>16</v>
      </c>
      <c r="L291" s="4" t="s">
        <v>16</v>
      </c>
      <c r="M291" s="4" t="s">
        <v>33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">
        <v>45598.0</v>
      </c>
      <c r="B292" s="4">
        <v>2024.0</v>
      </c>
      <c r="C292" s="4">
        <v>2.0</v>
      </c>
      <c r="D292" s="4">
        <v>6.0</v>
      </c>
      <c r="E292" s="4" t="s">
        <v>13</v>
      </c>
      <c r="F292" s="4" t="s">
        <v>14</v>
      </c>
      <c r="G292" s="4" t="s">
        <v>15</v>
      </c>
      <c r="H292" s="4">
        <v>489.0</v>
      </c>
      <c r="I292" s="4">
        <v>6352.11</v>
      </c>
      <c r="J292" s="4">
        <v>12.99</v>
      </c>
      <c r="K292" s="4" t="s">
        <v>16</v>
      </c>
      <c r="L292" s="4" t="s">
        <v>16</v>
      </c>
      <c r="M292" s="4" t="s">
        <v>33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">
        <v>45598.0</v>
      </c>
      <c r="B293" s="4">
        <v>2024.0</v>
      </c>
      <c r="C293" s="4">
        <v>2.0</v>
      </c>
      <c r="D293" s="4">
        <v>6.0</v>
      </c>
      <c r="E293" s="4" t="s">
        <v>17</v>
      </c>
      <c r="F293" s="4" t="s">
        <v>18</v>
      </c>
      <c r="G293" s="4" t="s">
        <v>19</v>
      </c>
      <c r="H293" s="4">
        <v>300.0</v>
      </c>
      <c r="I293" s="4">
        <v>4647.0</v>
      </c>
      <c r="J293" s="4">
        <v>15.49</v>
      </c>
      <c r="K293" s="4" t="s">
        <v>16</v>
      </c>
      <c r="L293" s="4" t="s">
        <v>16</v>
      </c>
      <c r="M293" s="4" t="s">
        <v>33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">
        <v>45598.0</v>
      </c>
      <c r="B294" s="4">
        <v>2024.0</v>
      </c>
      <c r="C294" s="4">
        <v>2.0</v>
      </c>
      <c r="D294" s="4">
        <v>6.0</v>
      </c>
      <c r="E294" s="4" t="s">
        <v>21</v>
      </c>
      <c r="F294" s="4" t="s">
        <v>22</v>
      </c>
      <c r="G294" s="4" t="s">
        <v>23</v>
      </c>
      <c r="H294" s="4">
        <v>252.0</v>
      </c>
      <c r="I294" s="4">
        <v>1005.48</v>
      </c>
      <c r="J294" s="4">
        <v>3.99</v>
      </c>
      <c r="K294" s="4" t="s">
        <v>16</v>
      </c>
      <c r="L294" s="4" t="s">
        <v>16</v>
      </c>
      <c r="M294" s="4" t="s">
        <v>33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">
        <v>45598.0</v>
      </c>
      <c r="B295" s="4">
        <v>2024.0</v>
      </c>
      <c r="C295" s="4">
        <v>2.0</v>
      </c>
      <c r="D295" s="4">
        <v>6.0</v>
      </c>
      <c r="E295" s="4" t="s">
        <v>25</v>
      </c>
      <c r="F295" s="4" t="s">
        <v>26</v>
      </c>
      <c r="G295" s="4" t="s">
        <v>27</v>
      </c>
      <c r="H295" s="4">
        <v>232.0</v>
      </c>
      <c r="I295" s="4">
        <v>1041.68</v>
      </c>
      <c r="J295" s="4">
        <v>4.49</v>
      </c>
      <c r="K295" s="4" t="s">
        <v>16</v>
      </c>
      <c r="L295" s="4" t="s">
        <v>16</v>
      </c>
      <c r="M295" s="4" t="s">
        <v>33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">
        <v>45598.0</v>
      </c>
      <c r="B296" s="4">
        <v>2024.0</v>
      </c>
      <c r="C296" s="4">
        <v>2.0</v>
      </c>
      <c r="D296" s="4">
        <v>6.0</v>
      </c>
      <c r="E296" s="4" t="s">
        <v>28</v>
      </c>
      <c r="F296" s="4" t="s">
        <v>29</v>
      </c>
      <c r="G296" s="4" t="s">
        <v>19</v>
      </c>
      <c r="H296" s="4">
        <v>309.0</v>
      </c>
      <c r="I296" s="4">
        <v>2777.91</v>
      </c>
      <c r="J296" s="4">
        <v>8.99</v>
      </c>
      <c r="K296" s="4" t="s">
        <v>24</v>
      </c>
      <c r="L296" s="4" t="s">
        <v>16</v>
      </c>
      <c r="M296" s="4" t="s">
        <v>33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" t="s">
        <v>75</v>
      </c>
      <c r="B297" s="4">
        <v>2024.0</v>
      </c>
      <c r="C297" s="4">
        <v>2.0</v>
      </c>
      <c r="D297" s="4">
        <v>7.0</v>
      </c>
      <c r="E297" s="4" t="s">
        <v>13</v>
      </c>
      <c r="F297" s="4" t="s">
        <v>14</v>
      </c>
      <c r="G297" s="4" t="s">
        <v>15</v>
      </c>
      <c r="H297" s="4">
        <v>526.0</v>
      </c>
      <c r="I297" s="4">
        <v>6832.74</v>
      </c>
      <c r="J297" s="4">
        <v>12.99</v>
      </c>
      <c r="K297" s="4" t="s">
        <v>16</v>
      </c>
      <c r="L297" s="4" t="s">
        <v>16</v>
      </c>
      <c r="M297" s="4" t="s">
        <v>33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" t="s">
        <v>75</v>
      </c>
      <c r="B298" s="4">
        <v>2024.0</v>
      </c>
      <c r="C298" s="4">
        <v>2.0</v>
      </c>
      <c r="D298" s="4">
        <v>7.0</v>
      </c>
      <c r="E298" s="4" t="s">
        <v>17</v>
      </c>
      <c r="F298" s="4" t="s">
        <v>18</v>
      </c>
      <c r="G298" s="4" t="s">
        <v>19</v>
      </c>
      <c r="H298" s="4">
        <v>469.0</v>
      </c>
      <c r="I298" s="4">
        <v>7264.81</v>
      </c>
      <c r="J298" s="4">
        <v>15.49</v>
      </c>
      <c r="K298" s="4" t="s">
        <v>16</v>
      </c>
      <c r="L298" s="4" t="s">
        <v>16</v>
      </c>
      <c r="M298" s="4" t="s">
        <v>33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" t="s">
        <v>75</v>
      </c>
      <c r="B299" s="4">
        <v>2024.0</v>
      </c>
      <c r="C299" s="4">
        <v>2.0</v>
      </c>
      <c r="D299" s="4">
        <v>7.0</v>
      </c>
      <c r="E299" s="4" t="s">
        <v>21</v>
      </c>
      <c r="F299" s="4" t="s">
        <v>22</v>
      </c>
      <c r="G299" s="4" t="s">
        <v>23</v>
      </c>
      <c r="H299" s="4">
        <v>409.0</v>
      </c>
      <c r="I299" s="4">
        <v>1631.91</v>
      </c>
      <c r="J299" s="4">
        <v>3.99</v>
      </c>
      <c r="K299" s="4" t="s">
        <v>24</v>
      </c>
      <c r="L299" s="4" t="s">
        <v>16</v>
      </c>
      <c r="M299" s="4" t="s">
        <v>33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" t="s">
        <v>75</v>
      </c>
      <c r="B300" s="4">
        <v>2024.0</v>
      </c>
      <c r="C300" s="4">
        <v>2.0</v>
      </c>
      <c r="D300" s="4">
        <v>7.0</v>
      </c>
      <c r="E300" s="4" t="s">
        <v>25</v>
      </c>
      <c r="F300" s="4" t="s">
        <v>26</v>
      </c>
      <c r="G300" s="4" t="s">
        <v>27</v>
      </c>
      <c r="H300" s="4">
        <v>200.0</v>
      </c>
      <c r="I300" s="4">
        <v>898.0</v>
      </c>
      <c r="J300" s="4">
        <v>4.49</v>
      </c>
      <c r="K300" s="4" t="s">
        <v>16</v>
      </c>
      <c r="L300" s="4" t="s">
        <v>16</v>
      </c>
      <c r="M300" s="4" t="s">
        <v>33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" t="s">
        <v>75</v>
      </c>
      <c r="B301" s="4">
        <v>2024.0</v>
      </c>
      <c r="C301" s="4">
        <v>2.0</v>
      </c>
      <c r="D301" s="4">
        <v>7.0</v>
      </c>
      <c r="E301" s="4" t="s">
        <v>28</v>
      </c>
      <c r="F301" s="4" t="s">
        <v>29</v>
      </c>
      <c r="G301" s="4" t="s">
        <v>19</v>
      </c>
      <c r="H301" s="4">
        <v>321.0</v>
      </c>
      <c r="I301" s="4">
        <v>2885.79</v>
      </c>
      <c r="J301" s="4">
        <v>8.99</v>
      </c>
      <c r="K301" s="4" t="s">
        <v>16</v>
      </c>
      <c r="L301" s="4" t="s">
        <v>16</v>
      </c>
      <c r="M301" s="4" t="s">
        <v>33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" t="s">
        <v>76</v>
      </c>
      <c r="B302" s="4">
        <v>2024.0</v>
      </c>
      <c r="C302" s="4">
        <v>2.0</v>
      </c>
      <c r="D302" s="4">
        <v>8.0</v>
      </c>
      <c r="E302" s="4" t="s">
        <v>13</v>
      </c>
      <c r="F302" s="4" t="s">
        <v>14</v>
      </c>
      <c r="G302" s="4" t="s">
        <v>15</v>
      </c>
      <c r="H302" s="4">
        <v>522.0</v>
      </c>
      <c r="I302" s="4">
        <v>6780.78</v>
      </c>
      <c r="J302" s="4">
        <v>12.99</v>
      </c>
      <c r="K302" s="4" t="s">
        <v>16</v>
      </c>
      <c r="L302" s="4" t="s">
        <v>16</v>
      </c>
      <c r="M302" s="4" t="s">
        <v>33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" t="s">
        <v>76</v>
      </c>
      <c r="B303" s="4">
        <v>2024.0</v>
      </c>
      <c r="C303" s="4">
        <v>2.0</v>
      </c>
      <c r="D303" s="4">
        <v>8.0</v>
      </c>
      <c r="E303" s="4" t="s">
        <v>17</v>
      </c>
      <c r="F303" s="4" t="s">
        <v>18</v>
      </c>
      <c r="G303" s="4" t="s">
        <v>19</v>
      </c>
      <c r="H303" s="4">
        <v>388.0</v>
      </c>
      <c r="I303" s="4">
        <v>6010.12</v>
      </c>
      <c r="J303" s="4">
        <v>15.49</v>
      </c>
      <c r="K303" s="4" t="s">
        <v>16</v>
      </c>
      <c r="L303" s="4" t="s">
        <v>16</v>
      </c>
      <c r="M303" s="4" t="s">
        <v>33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" t="s">
        <v>76</v>
      </c>
      <c r="B304" s="4">
        <v>2024.0</v>
      </c>
      <c r="C304" s="4">
        <v>2.0</v>
      </c>
      <c r="D304" s="4">
        <v>8.0</v>
      </c>
      <c r="E304" s="4" t="s">
        <v>21</v>
      </c>
      <c r="F304" s="4" t="s">
        <v>22</v>
      </c>
      <c r="G304" s="4" t="s">
        <v>23</v>
      </c>
      <c r="H304" s="4">
        <v>293.0</v>
      </c>
      <c r="I304" s="4">
        <v>1169.07</v>
      </c>
      <c r="J304" s="4">
        <v>3.99</v>
      </c>
      <c r="K304" s="4" t="s">
        <v>16</v>
      </c>
      <c r="L304" s="4" t="s">
        <v>16</v>
      </c>
      <c r="M304" s="4" t="s">
        <v>33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" t="s">
        <v>76</v>
      </c>
      <c r="B305" s="4">
        <v>2024.0</v>
      </c>
      <c r="C305" s="4">
        <v>2.0</v>
      </c>
      <c r="D305" s="4">
        <v>8.0</v>
      </c>
      <c r="E305" s="4" t="s">
        <v>25</v>
      </c>
      <c r="F305" s="4" t="s">
        <v>26</v>
      </c>
      <c r="G305" s="4" t="s">
        <v>27</v>
      </c>
      <c r="H305" s="4">
        <v>220.0</v>
      </c>
      <c r="I305" s="4">
        <v>987.8</v>
      </c>
      <c r="J305" s="4">
        <v>4.49</v>
      </c>
      <c r="K305" s="4" t="s">
        <v>16</v>
      </c>
      <c r="L305" s="4" t="s">
        <v>16</v>
      </c>
      <c r="M305" s="4" t="s">
        <v>33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" t="s">
        <v>76</v>
      </c>
      <c r="B306" s="4">
        <v>2024.0</v>
      </c>
      <c r="C306" s="4">
        <v>2.0</v>
      </c>
      <c r="D306" s="4">
        <v>8.0</v>
      </c>
      <c r="E306" s="4" t="s">
        <v>28</v>
      </c>
      <c r="F306" s="4" t="s">
        <v>29</v>
      </c>
      <c r="G306" s="4" t="s">
        <v>19</v>
      </c>
      <c r="H306" s="4">
        <v>275.0</v>
      </c>
      <c r="I306" s="4">
        <v>2472.25</v>
      </c>
      <c r="J306" s="4">
        <v>8.99</v>
      </c>
      <c r="K306" s="4" t="s">
        <v>16</v>
      </c>
      <c r="L306" s="4" t="s">
        <v>16</v>
      </c>
      <c r="M306" s="4" t="s">
        <v>33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">
        <v>45354.0</v>
      </c>
      <c r="B307" s="4">
        <v>2024.0</v>
      </c>
      <c r="C307" s="4">
        <v>3.0</v>
      </c>
      <c r="D307" s="4">
        <v>9.0</v>
      </c>
      <c r="E307" s="4" t="s">
        <v>13</v>
      </c>
      <c r="F307" s="4" t="s">
        <v>14</v>
      </c>
      <c r="G307" s="4" t="s">
        <v>15</v>
      </c>
      <c r="H307" s="4">
        <v>554.0</v>
      </c>
      <c r="I307" s="4">
        <v>7196.46</v>
      </c>
      <c r="J307" s="4">
        <v>12.99</v>
      </c>
      <c r="K307" s="4" t="s">
        <v>16</v>
      </c>
      <c r="L307" s="4" t="s">
        <v>16</v>
      </c>
      <c r="M307" s="4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">
        <v>45354.0</v>
      </c>
      <c r="B308" s="4">
        <v>2024.0</v>
      </c>
      <c r="C308" s="4">
        <v>3.0</v>
      </c>
      <c r="D308" s="4">
        <v>9.0</v>
      </c>
      <c r="E308" s="4" t="s">
        <v>17</v>
      </c>
      <c r="F308" s="4" t="s">
        <v>18</v>
      </c>
      <c r="G308" s="4" t="s">
        <v>19</v>
      </c>
      <c r="H308" s="4">
        <v>361.0</v>
      </c>
      <c r="I308" s="4">
        <v>5591.89</v>
      </c>
      <c r="J308" s="4">
        <v>15.49</v>
      </c>
      <c r="K308" s="4" t="s">
        <v>16</v>
      </c>
      <c r="L308" s="4" t="s">
        <v>16</v>
      </c>
      <c r="M308" s="4" t="s">
        <v>36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">
        <v>45354.0</v>
      </c>
      <c r="B309" s="4">
        <v>2024.0</v>
      </c>
      <c r="C309" s="4">
        <v>3.0</v>
      </c>
      <c r="D309" s="4">
        <v>9.0</v>
      </c>
      <c r="E309" s="4" t="s">
        <v>21</v>
      </c>
      <c r="F309" s="4" t="s">
        <v>22</v>
      </c>
      <c r="G309" s="4" t="s">
        <v>23</v>
      </c>
      <c r="H309" s="4">
        <v>91.0</v>
      </c>
      <c r="I309" s="4">
        <v>363.09</v>
      </c>
      <c r="J309" s="4">
        <v>3.99</v>
      </c>
      <c r="K309" s="4" t="s">
        <v>16</v>
      </c>
      <c r="L309" s="4" t="s">
        <v>24</v>
      </c>
      <c r="M309" s="4" t="s">
        <v>36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">
        <v>45354.0</v>
      </c>
      <c r="B310" s="4">
        <v>2024.0</v>
      </c>
      <c r="C310" s="4">
        <v>3.0</v>
      </c>
      <c r="D310" s="4">
        <v>9.0</v>
      </c>
      <c r="E310" s="4" t="s">
        <v>25</v>
      </c>
      <c r="F310" s="4" t="s">
        <v>26</v>
      </c>
      <c r="G310" s="4" t="s">
        <v>27</v>
      </c>
      <c r="H310" s="4">
        <v>168.0</v>
      </c>
      <c r="I310" s="4">
        <v>754.32</v>
      </c>
      <c r="J310" s="4">
        <v>4.49</v>
      </c>
      <c r="K310" s="4" t="s">
        <v>16</v>
      </c>
      <c r="L310" s="4" t="s">
        <v>16</v>
      </c>
      <c r="M310" s="4" t="s">
        <v>36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">
        <v>45354.0</v>
      </c>
      <c r="B311" s="4">
        <v>2024.0</v>
      </c>
      <c r="C311" s="4">
        <v>3.0</v>
      </c>
      <c r="D311" s="4">
        <v>9.0</v>
      </c>
      <c r="E311" s="4" t="s">
        <v>28</v>
      </c>
      <c r="F311" s="4" t="s">
        <v>29</v>
      </c>
      <c r="G311" s="4" t="s">
        <v>19</v>
      </c>
      <c r="H311" s="4">
        <v>294.0</v>
      </c>
      <c r="I311" s="4">
        <v>2643.06</v>
      </c>
      <c r="J311" s="4">
        <v>8.99</v>
      </c>
      <c r="K311" s="4" t="s">
        <v>16</v>
      </c>
      <c r="L311" s="4" t="s">
        <v>16</v>
      </c>
      <c r="M311" s="4" t="s">
        <v>36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">
        <v>45568.0</v>
      </c>
      <c r="B312" s="4">
        <v>2024.0</v>
      </c>
      <c r="C312" s="4">
        <v>3.0</v>
      </c>
      <c r="D312" s="4">
        <v>10.0</v>
      </c>
      <c r="E312" s="4" t="s">
        <v>13</v>
      </c>
      <c r="F312" s="4" t="s">
        <v>14</v>
      </c>
      <c r="G312" s="4" t="s">
        <v>15</v>
      </c>
      <c r="H312" s="4">
        <v>479.0</v>
      </c>
      <c r="I312" s="4">
        <v>6222.21</v>
      </c>
      <c r="J312" s="4">
        <v>12.99</v>
      </c>
      <c r="K312" s="4" t="s">
        <v>16</v>
      </c>
      <c r="L312" s="4" t="s">
        <v>16</v>
      </c>
      <c r="M312" s="4" t="s">
        <v>36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">
        <v>45568.0</v>
      </c>
      <c r="B313" s="4">
        <v>2024.0</v>
      </c>
      <c r="C313" s="4">
        <v>3.0</v>
      </c>
      <c r="D313" s="4">
        <v>10.0</v>
      </c>
      <c r="E313" s="4" t="s">
        <v>17</v>
      </c>
      <c r="F313" s="4" t="s">
        <v>18</v>
      </c>
      <c r="G313" s="4" t="s">
        <v>19</v>
      </c>
      <c r="H313" s="4">
        <v>477.0</v>
      </c>
      <c r="I313" s="4">
        <v>7388.73</v>
      </c>
      <c r="J313" s="4">
        <v>15.49</v>
      </c>
      <c r="K313" s="4" t="s">
        <v>24</v>
      </c>
      <c r="L313" s="4" t="s">
        <v>16</v>
      </c>
      <c r="M313" s="4" t="s">
        <v>36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">
        <v>45568.0</v>
      </c>
      <c r="B314" s="4">
        <v>2024.0</v>
      </c>
      <c r="C314" s="4">
        <v>3.0</v>
      </c>
      <c r="D314" s="4">
        <v>10.0</v>
      </c>
      <c r="E314" s="4" t="s">
        <v>21</v>
      </c>
      <c r="F314" s="4" t="s">
        <v>22</v>
      </c>
      <c r="G314" s="4" t="s">
        <v>23</v>
      </c>
      <c r="H314" s="4">
        <v>389.0</v>
      </c>
      <c r="I314" s="4">
        <v>1552.11</v>
      </c>
      <c r="J314" s="4">
        <v>3.99</v>
      </c>
      <c r="K314" s="4" t="s">
        <v>24</v>
      </c>
      <c r="L314" s="4" t="s">
        <v>16</v>
      </c>
      <c r="M314" s="4" t="s">
        <v>36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">
        <v>45568.0</v>
      </c>
      <c r="B315" s="4">
        <v>2024.0</v>
      </c>
      <c r="C315" s="4">
        <v>3.0</v>
      </c>
      <c r="D315" s="4">
        <v>10.0</v>
      </c>
      <c r="E315" s="4" t="s">
        <v>25</v>
      </c>
      <c r="F315" s="4" t="s">
        <v>26</v>
      </c>
      <c r="G315" s="4" t="s">
        <v>27</v>
      </c>
      <c r="H315" s="4">
        <v>192.0</v>
      </c>
      <c r="I315" s="4">
        <v>862.08</v>
      </c>
      <c r="J315" s="4">
        <v>4.49</v>
      </c>
      <c r="K315" s="4" t="s">
        <v>16</v>
      </c>
      <c r="L315" s="4" t="s">
        <v>16</v>
      </c>
      <c r="M315" s="4" t="s">
        <v>36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">
        <v>45568.0</v>
      </c>
      <c r="B316" s="4">
        <v>2024.0</v>
      </c>
      <c r="C316" s="4">
        <v>3.0</v>
      </c>
      <c r="D316" s="4">
        <v>10.0</v>
      </c>
      <c r="E316" s="4" t="s">
        <v>28</v>
      </c>
      <c r="F316" s="4" t="s">
        <v>29</v>
      </c>
      <c r="G316" s="4" t="s">
        <v>19</v>
      </c>
      <c r="H316" s="4">
        <v>247.0</v>
      </c>
      <c r="I316" s="4">
        <v>2220.53</v>
      </c>
      <c r="J316" s="4">
        <v>8.99</v>
      </c>
      <c r="K316" s="4" t="s">
        <v>16</v>
      </c>
      <c r="L316" s="4" t="s">
        <v>16</v>
      </c>
      <c r="M316" s="4" t="s">
        <v>36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" t="s">
        <v>77</v>
      </c>
      <c r="B317" s="4">
        <v>2024.0</v>
      </c>
      <c r="C317" s="4">
        <v>3.0</v>
      </c>
      <c r="D317" s="4">
        <v>11.0</v>
      </c>
      <c r="E317" s="4" t="s">
        <v>13</v>
      </c>
      <c r="F317" s="4" t="s">
        <v>14</v>
      </c>
      <c r="G317" s="4" t="s">
        <v>15</v>
      </c>
      <c r="H317" s="4">
        <v>446.0</v>
      </c>
      <c r="I317" s="4">
        <v>5793.54</v>
      </c>
      <c r="J317" s="4">
        <v>12.99</v>
      </c>
      <c r="K317" s="4" t="s">
        <v>16</v>
      </c>
      <c r="L317" s="4" t="s">
        <v>16</v>
      </c>
      <c r="M317" s="4" t="s">
        <v>36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" t="s">
        <v>77</v>
      </c>
      <c r="B318" s="4">
        <v>2024.0</v>
      </c>
      <c r="C318" s="4">
        <v>3.0</v>
      </c>
      <c r="D318" s="4">
        <v>11.0</v>
      </c>
      <c r="E318" s="4" t="s">
        <v>17</v>
      </c>
      <c r="F318" s="4" t="s">
        <v>18</v>
      </c>
      <c r="G318" s="4" t="s">
        <v>19</v>
      </c>
      <c r="H318" s="4">
        <v>105.0</v>
      </c>
      <c r="I318" s="4">
        <v>1626.45</v>
      </c>
      <c r="J318" s="4">
        <v>15.49</v>
      </c>
      <c r="K318" s="4" t="s">
        <v>16</v>
      </c>
      <c r="L318" s="4" t="s">
        <v>24</v>
      </c>
      <c r="M318" s="4" t="s">
        <v>36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" t="s">
        <v>77</v>
      </c>
      <c r="B319" s="4">
        <v>2024.0</v>
      </c>
      <c r="C319" s="4">
        <v>3.0</v>
      </c>
      <c r="D319" s="4">
        <v>11.0</v>
      </c>
      <c r="E319" s="4" t="s">
        <v>21</v>
      </c>
      <c r="F319" s="4" t="s">
        <v>22</v>
      </c>
      <c r="G319" s="4" t="s">
        <v>23</v>
      </c>
      <c r="H319" s="4">
        <v>101.0</v>
      </c>
      <c r="I319" s="4">
        <v>402.99</v>
      </c>
      <c r="J319" s="4">
        <v>3.99</v>
      </c>
      <c r="K319" s="4" t="s">
        <v>16</v>
      </c>
      <c r="L319" s="4" t="s">
        <v>24</v>
      </c>
      <c r="M319" s="4" t="s">
        <v>36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" t="s">
        <v>77</v>
      </c>
      <c r="B320" s="4">
        <v>2024.0</v>
      </c>
      <c r="C320" s="4">
        <v>3.0</v>
      </c>
      <c r="D320" s="4">
        <v>11.0</v>
      </c>
      <c r="E320" s="4" t="s">
        <v>25</v>
      </c>
      <c r="F320" s="4" t="s">
        <v>26</v>
      </c>
      <c r="G320" s="4" t="s">
        <v>27</v>
      </c>
      <c r="H320" s="4">
        <v>204.0</v>
      </c>
      <c r="I320" s="4">
        <v>915.96</v>
      </c>
      <c r="J320" s="4">
        <v>4.49</v>
      </c>
      <c r="K320" s="4" t="s">
        <v>16</v>
      </c>
      <c r="L320" s="4" t="s">
        <v>16</v>
      </c>
      <c r="M320" s="4" t="s">
        <v>36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" t="s">
        <v>77</v>
      </c>
      <c r="B321" s="4">
        <v>2024.0</v>
      </c>
      <c r="C321" s="4">
        <v>3.0</v>
      </c>
      <c r="D321" s="4">
        <v>11.0</v>
      </c>
      <c r="E321" s="4" t="s">
        <v>28</v>
      </c>
      <c r="F321" s="4" t="s">
        <v>29</v>
      </c>
      <c r="G321" s="4" t="s">
        <v>19</v>
      </c>
      <c r="H321" s="4">
        <v>295.0</v>
      </c>
      <c r="I321" s="4">
        <v>2652.05</v>
      </c>
      <c r="J321" s="4">
        <v>8.99</v>
      </c>
      <c r="K321" s="4" t="s">
        <v>16</v>
      </c>
      <c r="L321" s="4" t="s">
        <v>16</v>
      </c>
      <c r="M321" s="4" t="s">
        <v>36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" t="s">
        <v>78</v>
      </c>
      <c r="B322" s="4">
        <v>2024.0</v>
      </c>
      <c r="C322" s="4">
        <v>3.0</v>
      </c>
      <c r="D322" s="4">
        <v>12.0</v>
      </c>
      <c r="E322" s="4" t="s">
        <v>13</v>
      </c>
      <c r="F322" s="4" t="s">
        <v>14</v>
      </c>
      <c r="G322" s="4" t="s">
        <v>15</v>
      </c>
      <c r="H322" s="4">
        <v>441.0</v>
      </c>
      <c r="I322" s="4">
        <v>5728.59</v>
      </c>
      <c r="J322" s="4">
        <v>12.99</v>
      </c>
      <c r="K322" s="4" t="s">
        <v>16</v>
      </c>
      <c r="L322" s="4" t="s">
        <v>16</v>
      </c>
      <c r="M322" s="4" t="s">
        <v>36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" t="s">
        <v>78</v>
      </c>
      <c r="B323" s="4">
        <v>2024.0</v>
      </c>
      <c r="C323" s="4">
        <v>3.0</v>
      </c>
      <c r="D323" s="4">
        <v>12.0</v>
      </c>
      <c r="E323" s="4" t="s">
        <v>17</v>
      </c>
      <c r="F323" s="4" t="s">
        <v>18</v>
      </c>
      <c r="G323" s="4" t="s">
        <v>19</v>
      </c>
      <c r="H323" s="4">
        <v>412.0</v>
      </c>
      <c r="I323" s="4">
        <v>6381.88</v>
      </c>
      <c r="J323" s="4">
        <v>15.49</v>
      </c>
      <c r="K323" s="4" t="s">
        <v>16</v>
      </c>
      <c r="L323" s="4" t="s">
        <v>16</v>
      </c>
      <c r="M323" s="4" t="s">
        <v>36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" t="s">
        <v>78</v>
      </c>
      <c r="B324" s="4">
        <v>2024.0</v>
      </c>
      <c r="C324" s="4">
        <v>3.0</v>
      </c>
      <c r="D324" s="4">
        <v>12.0</v>
      </c>
      <c r="E324" s="4" t="s">
        <v>21</v>
      </c>
      <c r="F324" s="4" t="s">
        <v>22</v>
      </c>
      <c r="G324" s="4" t="s">
        <v>23</v>
      </c>
      <c r="H324" s="4">
        <v>278.0</v>
      </c>
      <c r="I324" s="4">
        <v>1109.22</v>
      </c>
      <c r="J324" s="4">
        <v>3.99</v>
      </c>
      <c r="K324" s="4" t="s">
        <v>16</v>
      </c>
      <c r="L324" s="4" t="s">
        <v>16</v>
      </c>
      <c r="M324" s="4" t="s">
        <v>36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" t="s">
        <v>78</v>
      </c>
      <c r="B325" s="4">
        <v>2024.0</v>
      </c>
      <c r="C325" s="4">
        <v>3.0</v>
      </c>
      <c r="D325" s="4">
        <v>12.0</v>
      </c>
      <c r="E325" s="4" t="s">
        <v>25</v>
      </c>
      <c r="F325" s="4" t="s">
        <v>26</v>
      </c>
      <c r="G325" s="4" t="s">
        <v>27</v>
      </c>
      <c r="H325" s="4">
        <v>246.0</v>
      </c>
      <c r="I325" s="4">
        <v>1104.54</v>
      </c>
      <c r="J325" s="4">
        <v>4.49</v>
      </c>
      <c r="K325" s="4" t="s">
        <v>16</v>
      </c>
      <c r="L325" s="4" t="s">
        <v>16</v>
      </c>
      <c r="M325" s="4" t="s">
        <v>36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" t="s">
        <v>78</v>
      </c>
      <c r="B326" s="4">
        <v>2024.0</v>
      </c>
      <c r="C326" s="4">
        <v>3.0</v>
      </c>
      <c r="D326" s="4">
        <v>12.0</v>
      </c>
      <c r="E326" s="4" t="s">
        <v>28</v>
      </c>
      <c r="F326" s="4" t="s">
        <v>29</v>
      </c>
      <c r="G326" s="4" t="s">
        <v>19</v>
      </c>
      <c r="H326" s="4">
        <v>203.0</v>
      </c>
      <c r="I326" s="4">
        <v>1824.97</v>
      </c>
      <c r="J326" s="4">
        <v>8.99</v>
      </c>
      <c r="K326" s="4" t="s">
        <v>16</v>
      </c>
      <c r="L326" s="4" t="s">
        <v>16</v>
      </c>
      <c r="M326" s="4" t="s">
        <v>36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" t="s">
        <v>79</v>
      </c>
      <c r="B327" s="4">
        <v>2024.0</v>
      </c>
      <c r="C327" s="4">
        <v>3.0</v>
      </c>
      <c r="D327" s="4">
        <v>13.0</v>
      </c>
      <c r="E327" s="4" t="s">
        <v>13</v>
      </c>
      <c r="F327" s="4" t="s">
        <v>14</v>
      </c>
      <c r="G327" s="4" t="s">
        <v>15</v>
      </c>
      <c r="H327" s="4">
        <v>173.0</v>
      </c>
      <c r="I327" s="4">
        <v>2247.27</v>
      </c>
      <c r="J327" s="4">
        <v>12.99</v>
      </c>
      <c r="K327" s="4" t="s">
        <v>24</v>
      </c>
      <c r="L327" s="4" t="s">
        <v>24</v>
      </c>
      <c r="M327" s="4" t="s">
        <v>36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" t="s">
        <v>79</v>
      </c>
      <c r="B328" s="4">
        <v>2024.0</v>
      </c>
      <c r="C328" s="4">
        <v>3.0</v>
      </c>
      <c r="D328" s="4">
        <v>13.0</v>
      </c>
      <c r="E328" s="4" t="s">
        <v>17</v>
      </c>
      <c r="F328" s="4" t="s">
        <v>18</v>
      </c>
      <c r="G328" s="4" t="s">
        <v>19</v>
      </c>
      <c r="H328" s="4">
        <v>339.0</v>
      </c>
      <c r="I328" s="4">
        <v>5251.11</v>
      </c>
      <c r="J328" s="4">
        <v>15.49</v>
      </c>
      <c r="K328" s="4" t="s">
        <v>16</v>
      </c>
      <c r="L328" s="4" t="s">
        <v>16</v>
      </c>
      <c r="M328" s="4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" t="s">
        <v>79</v>
      </c>
      <c r="B329" s="4">
        <v>2024.0</v>
      </c>
      <c r="C329" s="4">
        <v>3.0</v>
      </c>
      <c r="D329" s="4">
        <v>13.0</v>
      </c>
      <c r="E329" s="4" t="s">
        <v>21</v>
      </c>
      <c r="F329" s="4" t="s">
        <v>22</v>
      </c>
      <c r="G329" s="4" t="s">
        <v>23</v>
      </c>
      <c r="H329" s="4">
        <v>308.0</v>
      </c>
      <c r="I329" s="4">
        <v>1228.92</v>
      </c>
      <c r="J329" s="4">
        <v>3.99</v>
      </c>
      <c r="K329" s="4" t="s">
        <v>16</v>
      </c>
      <c r="L329" s="4" t="s">
        <v>16</v>
      </c>
      <c r="M329" s="4" t="s">
        <v>36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" t="s">
        <v>79</v>
      </c>
      <c r="B330" s="4">
        <v>2024.0</v>
      </c>
      <c r="C330" s="4">
        <v>3.0</v>
      </c>
      <c r="D330" s="4">
        <v>13.0</v>
      </c>
      <c r="E330" s="4" t="s">
        <v>25</v>
      </c>
      <c r="F330" s="4" t="s">
        <v>26</v>
      </c>
      <c r="G330" s="4" t="s">
        <v>27</v>
      </c>
      <c r="H330" s="4">
        <v>232.0</v>
      </c>
      <c r="I330" s="4">
        <v>1041.68</v>
      </c>
      <c r="J330" s="4">
        <v>4.49</v>
      </c>
      <c r="K330" s="4" t="s">
        <v>16</v>
      </c>
      <c r="L330" s="4" t="s">
        <v>16</v>
      </c>
      <c r="M330" s="4" t="s">
        <v>36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" t="s">
        <v>79</v>
      </c>
      <c r="B331" s="4">
        <v>2024.0</v>
      </c>
      <c r="C331" s="4">
        <v>3.0</v>
      </c>
      <c r="D331" s="4">
        <v>13.0</v>
      </c>
      <c r="E331" s="4" t="s">
        <v>28</v>
      </c>
      <c r="F331" s="4" t="s">
        <v>29</v>
      </c>
      <c r="G331" s="4" t="s">
        <v>19</v>
      </c>
      <c r="H331" s="4">
        <v>247.0</v>
      </c>
      <c r="I331" s="4">
        <v>2220.53</v>
      </c>
      <c r="J331" s="4">
        <v>8.99</v>
      </c>
      <c r="K331" s="4" t="s">
        <v>16</v>
      </c>
      <c r="L331" s="4" t="s">
        <v>16</v>
      </c>
      <c r="M331" s="4" t="s">
        <v>36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">
        <v>45477.0</v>
      </c>
      <c r="B332" s="4">
        <v>2024.0</v>
      </c>
      <c r="C332" s="4">
        <v>4.0</v>
      </c>
      <c r="D332" s="4">
        <v>14.0</v>
      </c>
      <c r="E332" s="4" t="s">
        <v>13</v>
      </c>
      <c r="F332" s="4" t="s">
        <v>14</v>
      </c>
      <c r="G332" s="4" t="s">
        <v>15</v>
      </c>
      <c r="H332" s="4">
        <v>491.0</v>
      </c>
      <c r="I332" s="4">
        <v>6378.09</v>
      </c>
      <c r="J332" s="4">
        <v>12.99</v>
      </c>
      <c r="K332" s="4" t="s">
        <v>16</v>
      </c>
      <c r="L332" s="4" t="s">
        <v>16</v>
      </c>
      <c r="M332" s="4" t="s">
        <v>39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">
        <v>45477.0</v>
      </c>
      <c r="B333" s="4">
        <v>2024.0</v>
      </c>
      <c r="C333" s="4">
        <v>4.0</v>
      </c>
      <c r="D333" s="4">
        <v>14.0</v>
      </c>
      <c r="E333" s="4" t="s">
        <v>17</v>
      </c>
      <c r="F333" s="4" t="s">
        <v>18</v>
      </c>
      <c r="G333" s="4" t="s">
        <v>19</v>
      </c>
      <c r="H333" s="4">
        <v>366.0</v>
      </c>
      <c r="I333" s="4">
        <v>5669.34</v>
      </c>
      <c r="J333" s="4">
        <v>15.49</v>
      </c>
      <c r="K333" s="4" t="s">
        <v>16</v>
      </c>
      <c r="L333" s="4" t="s">
        <v>16</v>
      </c>
      <c r="M333" s="4" t="s">
        <v>39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">
        <v>45477.0</v>
      </c>
      <c r="B334" s="4">
        <v>2024.0</v>
      </c>
      <c r="C334" s="4">
        <v>4.0</v>
      </c>
      <c r="D334" s="4">
        <v>14.0</v>
      </c>
      <c r="E334" s="4" t="s">
        <v>21</v>
      </c>
      <c r="F334" s="4" t="s">
        <v>22</v>
      </c>
      <c r="G334" s="4" t="s">
        <v>23</v>
      </c>
      <c r="H334" s="4">
        <v>270.0</v>
      </c>
      <c r="I334" s="4">
        <v>1077.3</v>
      </c>
      <c r="J334" s="4">
        <v>3.99</v>
      </c>
      <c r="K334" s="4" t="s">
        <v>16</v>
      </c>
      <c r="L334" s="4" t="s">
        <v>16</v>
      </c>
      <c r="M334" s="4" t="s">
        <v>39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">
        <v>45477.0</v>
      </c>
      <c r="B335" s="4">
        <v>2024.0</v>
      </c>
      <c r="C335" s="4">
        <v>4.0</v>
      </c>
      <c r="D335" s="4">
        <v>14.0</v>
      </c>
      <c r="E335" s="4" t="s">
        <v>25</v>
      </c>
      <c r="F335" s="4" t="s">
        <v>26</v>
      </c>
      <c r="G335" s="4" t="s">
        <v>27</v>
      </c>
      <c r="H335" s="4">
        <v>259.0</v>
      </c>
      <c r="I335" s="4">
        <v>1162.91</v>
      </c>
      <c r="J335" s="4">
        <v>4.49</v>
      </c>
      <c r="K335" s="4" t="s">
        <v>24</v>
      </c>
      <c r="L335" s="4" t="s">
        <v>16</v>
      </c>
      <c r="M335" s="4" t="s">
        <v>39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">
        <v>45477.0</v>
      </c>
      <c r="B336" s="4">
        <v>2024.0</v>
      </c>
      <c r="C336" s="4">
        <v>4.0</v>
      </c>
      <c r="D336" s="4">
        <v>14.0</v>
      </c>
      <c r="E336" s="4" t="s">
        <v>28</v>
      </c>
      <c r="F336" s="4" t="s">
        <v>29</v>
      </c>
      <c r="G336" s="4" t="s">
        <v>19</v>
      </c>
      <c r="H336" s="4">
        <v>310.0</v>
      </c>
      <c r="I336" s="4">
        <v>2786.9</v>
      </c>
      <c r="J336" s="4">
        <v>8.99</v>
      </c>
      <c r="K336" s="4" t="s">
        <v>16</v>
      </c>
      <c r="L336" s="4" t="s">
        <v>16</v>
      </c>
      <c r="M336" s="4" t="s">
        <v>39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" t="s">
        <v>80</v>
      </c>
      <c r="B337" s="4">
        <v>2024.0</v>
      </c>
      <c r="C337" s="4">
        <v>4.0</v>
      </c>
      <c r="D337" s="4">
        <v>15.0</v>
      </c>
      <c r="E337" s="4" t="s">
        <v>13</v>
      </c>
      <c r="F337" s="4" t="s">
        <v>14</v>
      </c>
      <c r="G337" s="4" t="s">
        <v>15</v>
      </c>
      <c r="H337" s="4">
        <v>439.0</v>
      </c>
      <c r="I337" s="4">
        <v>5702.61</v>
      </c>
      <c r="J337" s="4">
        <v>12.99</v>
      </c>
      <c r="K337" s="4" t="s">
        <v>16</v>
      </c>
      <c r="L337" s="4" t="s">
        <v>16</v>
      </c>
      <c r="M337" s="4" t="s">
        <v>39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" t="s">
        <v>80</v>
      </c>
      <c r="B338" s="4">
        <v>2024.0</v>
      </c>
      <c r="C338" s="4">
        <v>4.0</v>
      </c>
      <c r="D338" s="4">
        <v>15.0</v>
      </c>
      <c r="E338" s="4" t="s">
        <v>17</v>
      </c>
      <c r="F338" s="4" t="s">
        <v>18</v>
      </c>
      <c r="G338" s="4" t="s">
        <v>19</v>
      </c>
      <c r="H338" s="4">
        <v>351.0</v>
      </c>
      <c r="I338" s="4">
        <v>5436.99</v>
      </c>
      <c r="J338" s="4">
        <v>15.49</v>
      </c>
      <c r="K338" s="4" t="s">
        <v>16</v>
      </c>
      <c r="L338" s="4" t="s">
        <v>16</v>
      </c>
      <c r="M338" s="4" t="s">
        <v>39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" t="s">
        <v>80</v>
      </c>
      <c r="B339" s="4">
        <v>2024.0</v>
      </c>
      <c r="C339" s="4">
        <v>4.0</v>
      </c>
      <c r="D339" s="4">
        <v>15.0</v>
      </c>
      <c r="E339" s="4" t="s">
        <v>21</v>
      </c>
      <c r="F339" s="4" t="s">
        <v>22</v>
      </c>
      <c r="G339" s="4" t="s">
        <v>23</v>
      </c>
      <c r="H339" s="4">
        <v>323.0</v>
      </c>
      <c r="I339" s="4">
        <v>1288.77</v>
      </c>
      <c r="J339" s="4">
        <v>3.99</v>
      </c>
      <c r="K339" s="4" t="s">
        <v>24</v>
      </c>
      <c r="L339" s="4" t="s">
        <v>16</v>
      </c>
      <c r="M339" s="4" t="s">
        <v>39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" t="s">
        <v>80</v>
      </c>
      <c r="B340" s="4">
        <v>2024.0</v>
      </c>
      <c r="C340" s="4">
        <v>4.0</v>
      </c>
      <c r="D340" s="4">
        <v>15.0</v>
      </c>
      <c r="E340" s="4" t="s">
        <v>25</v>
      </c>
      <c r="F340" s="4" t="s">
        <v>26</v>
      </c>
      <c r="G340" s="4" t="s">
        <v>27</v>
      </c>
      <c r="H340" s="4">
        <v>184.0</v>
      </c>
      <c r="I340" s="4">
        <v>826.16</v>
      </c>
      <c r="J340" s="4">
        <v>4.49</v>
      </c>
      <c r="K340" s="4" t="s">
        <v>16</v>
      </c>
      <c r="L340" s="4" t="s">
        <v>16</v>
      </c>
      <c r="M340" s="4" t="s">
        <v>39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" t="s">
        <v>80</v>
      </c>
      <c r="B341" s="4">
        <v>2024.0</v>
      </c>
      <c r="C341" s="4">
        <v>4.0</v>
      </c>
      <c r="D341" s="4">
        <v>15.0</v>
      </c>
      <c r="E341" s="4" t="s">
        <v>28</v>
      </c>
      <c r="F341" s="4" t="s">
        <v>29</v>
      </c>
      <c r="G341" s="4" t="s">
        <v>19</v>
      </c>
      <c r="H341" s="4">
        <v>241.0</v>
      </c>
      <c r="I341" s="4">
        <v>2166.59</v>
      </c>
      <c r="J341" s="4">
        <v>8.99</v>
      </c>
      <c r="K341" s="4" t="s">
        <v>16</v>
      </c>
      <c r="L341" s="4" t="s">
        <v>16</v>
      </c>
      <c r="M341" s="4" t="s">
        <v>39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" t="s">
        <v>81</v>
      </c>
      <c r="B342" s="4">
        <v>2024.0</v>
      </c>
      <c r="C342" s="4">
        <v>4.0</v>
      </c>
      <c r="D342" s="4">
        <v>16.0</v>
      </c>
      <c r="E342" s="4" t="s">
        <v>13</v>
      </c>
      <c r="F342" s="4" t="s">
        <v>14</v>
      </c>
      <c r="G342" s="4" t="s">
        <v>15</v>
      </c>
      <c r="H342" s="4">
        <v>739.0</v>
      </c>
      <c r="I342" s="4">
        <v>9599.61</v>
      </c>
      <c r="J342" s="4">
        <v>12.99</v>
      </c>
      <c r="K342" s="4" t="s">
        <v>24</v>
      </c>
      <c r="L342" s="4" t="s">
        <v>16</v>
      </c>
      <c r="M342" s="4" t="s">
        <v>39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" t="s">
        <v>81</v>
      </c>
      <c r="B343" s="4">
        <v>2024.0</v>
      </c>
      <c r="C343" s="4">
        <v>4.0</v>
      </c>
      <c r="D343" s="4">
        <v>16.0</v>
      </c>
      <c r="E343" s="4" t="s">
        <v>17</v>
      </c>
      <c r="F343" s="4" t="s">
        <v>18</v>
      </c>
      <c r="G343" s="4" t="s">
        <v>19</v>
      </c>
      <c r="H343" s="4">
        <v>444.0</v>
      </c>
      <c r="I343" s="4">
        <v>6877.56</v>
      </c>
      <c r="J343" s="4">
        <v>15.49</v>
      </c>
      <c r="K343" s="4" t="s">
        <v>16</v>
      </c>
      <c r="L343" s="4" t="s">
        <v>16</v>
      </c>
      <c r="M343" s="4" t="s">
        <v>39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" t="s">
        <v>81</v>
      </c>
      <c r="B344" s="4">
        <v>2024.0</v>
      </c>
      <c r="C344" s="4">
        <v>4.0</v>
      </c>
      <c r="D344" s="4">
        <v>16.0</v>
      </c>
      <c r="E344" s="4" t="s">
        <v>21</v>
      </c>
      <c r="F344" s="4" t="s">
        <v>22</v>
      </c>
      <c r="G344" s="4" t="s">
        <v>23</v>
      </c>
      <c r="H344" s="4">
        <v>416.0</v>
      </c>
      <c r="I344" s="4">
        <v>1659.84</v>
      </c>
      <c r="J344" s="4">
        <v>3.99</v>
      </c>
      <c r="K344" s="4" t="s">
        <v>24</v>
      </c>
      <c r="L344" s="4" t="s">
        <v>16</v>
      </c>
      <c r="M344" s="4" t="s">
        <v>39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" t="s">
        <v>81</v>
      </c>
      <c r="B345" s="4">
        <v>2024.0</v>
      </c>
      <c r="C345" s="4">
        <v>4.0</v>
      </c>
      <c r="D345" s="4">
        <v>16.0</v>
      </c>
      <c r="E345" s="4" t="s">
        <v>25</v>
      </c>
      <c r="F345" s="4" t="s">
        <v>26</v>
      </c>
      <c r="G345" s="4" t="s">
        <v>27</v>
      </c>
      <c r="H345" s="4">
        <v>257.0</v>
      </c>
      <c r="I345" s="4">
        <v>1153.93</v>
      </c>
      <c r="J345" s="4">
        <v>4.49</v>
      </c>
      <c r="K345" s="4" t="s">
        <v>16</v>
      </c>
      <c r="L345" s="4" t="s">
        <v>16</v>
      </c>
      <c r="M345" s="4" t="s">
        <v>39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" t="s">
        <v>81</v>
      </c>
      <c r="B346" s="4">
        <v>2024.0</v>
      </c>
      <c r="C346" s="4">
        <v>4.0</v>
      </c>
      <c r="D346" s="4">
        <v>16.0</v>
      </c>
      <c r="E346" s="4" t="s">
        <v>28</v>
      </c>
      <c r="F346" s="4" t="s">
        <v>29</v>
      </c>
      <c r="G346" s="4" t="s">
        <v>19</v>
      </c>
      <c r="H346" s="4">
        <v>255.0</v>
      </c>
      <c r="I346" s="4">
        <v>2292.45</v>
      </c>
      <c r="J346" s="4">
        <v>8.99</v>
      </c>
      <c r="K346" s="4" t="s">
        <v>16</v>
      </c>
      <c r="L346" s="4" t="s">
        <v>16</v>
      </c>
      <c r="M346" s="4" t="s">
        <v>39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" t="s">
        <v>82</v>
      </c>
      <c r="B347" s="4">
        <v>2024.0</v>
      </c>
      <c r="C347" s="4">
        <v>4.0</v>
      </c>
      <c r="D347" s="4">
        <v>17.0</v>
      </c>
      <c r="E347" s="4" t="s">
        <v>13</v>
      </c>
      <c r="F347" s="4" t="s">
        <v>14</v>
      </c>
      <c r="G347" s="4" t="s">
        <v>15</v>
      </c>
      <c r="H347" s="4">
        <v>566.0</v>
      </c>
      <c r="I347" s="4">
        <v>7352.34</v>
      </c>
      <c r="J347" s="4">
        <v>12.99</v>
      </c>
      <c r="K347" s="4" t="s">
        <v>16</v>
      </c>
      <c r="L347" s="4" t="s">
        <v>16</v>
      </c>
      <c r="M347" s="4" t="s">
        <v>39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" t="s">
        <v>82</v>
      </c>
      <c r="B348" s="4">
        <v>2024.0</v>
      </c>
      <c r="C348" s="4">
        <v>4.0</v>
      </c>
      <c r="D348" s="4">
        <v>17.0</v>
      </c>
      <c r="E348" s="4" t="s">
        <v>17</v>
      </c>
      <c r="F348" s="4" t="s">
        <v>18</v>
      </c>
      <c r="G348" s="4" t="s">
        <v>19</v>
      </c>
      <c r="H348" s="4">
        <v>377.0</v>
      </c>
      <c r="I348" s="4">
        <v>5839.73</v>
      </c>
      <c r="J348" s="4">
        <v>15.49</v>
      </c>
      <c r="K348" s="4" t="s">
        <v>16</v>
      </c>
      <c r="L348" s="4" t="s">
        <v>16</v>
      </c>
      <c r="M348" s="4" t="s">
        <v>39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" t="s">
        <v>82</v>
      </c>
      <c r="B349" s="4">
        <v>2024.0</v>
      </c>
      <c r="C349" s="4">
        <v>4.0</v>
      </c>
      <c r="D349" s="4">
        <v>17.0</v>
      </c>
      <c r="E349" s="4" t="s">
        <v>21</v>
      </c>
      <c r="F349" s="4" t="s">
        <v>22</v>
      </c>
      <c r="G349" s="4" t="s">
        <v>23</v>
      </c>
      <c r="H349" s="4">
        <v>382.0</v>
      </c>
      <c r="I349" s="4">
        <v>1524.18</v>
      </c>
      <c r="J349" s="4">
        <v>3.99</v>
      </c>
      <c r="K349" s="4" t="s">
        <v>16</v>
      </c>
      <c r="L349" s="4" t="s">
        <v>16</v>
      </c>
      <c r="M349" s="4" t="s">
        <v>39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" t="s">
        <v>82</v>
      </c>
      <c r="B350" s="4">
        <v>2024.0</v>
      </c>
      <c r="C350" s="4">
        <v>4.0</v>
      </c>
      <c r="D350" s="4">
        <v>17.0</v>
      </c>
      <c r="E350" s="4" t="s">
        <v>25</v>
      </c>
      <c r="F350" s="4" t="s">
        <v>26</v>
      </c>
      <c r="G350" s="4" t="s">
        <v>27</v>
      </c>
      <c r="H350" s="4">
        <v>228.0</v>
      </c>
      <c r="I350" s="4">
        <v>1023.72</v>
      </c>
      <c r="J350" s="4">
        <v>4.49</v>
      </c>
      <c r="K350" s="4" t="s">
        <v>16</v>
      </c>
      <c r="L350" s="4" t="s">
        <v>16</v>
      </c>
      <c r="M350" s="4" t="s">
        <v>39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" t="s">
        <v>82</v>
      </c>
      <c r="B351" s="4">
        <v>2024.0</v>
      </c>
      <c r="C351" s="4">
        <v>4.0</v>
      </c>
      <c r="D351" s="4">
        <v>17.0</v>
      </c>
      <c r="E351" s="4" t="s">
        <v>28</v>
      </c>
      <c r="F351" s="4" t="s">
        <v>29</v>
      </c>
      <c r="G351" s="4" t="s">
        <v>19</v>
      </c>
      <c r="H351" s="4">
        <v>276.0</v>
      </c>
      <c r="I351" s="4">
        <v>2481.24</v>
      </c>
      <c r="J351" s="4">
        <v>8.99</v>
      </c>
      <c r="K351" s="4" t="s">
        <v>16</v>
      </c>
      <c r="L351" s="4" t="s">
        <v>16</v>
      </c>
      <c r="M351" s="4" t="s">
        <v>39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">
        <v>45417.0</v>
      </c>
      <c r="B352" s="4">
        <v>2024.0</v>
      </c>
      <c r="C352" s="4">
        <v>5.0</v>
      </c>
      <c r="D352" s="4">
        <v>18.0</v>
      </c>
      <c r="E352" s="4" t="s">
        <v>13</v>
      </c>
      <c r="F352" s="4" t="s">
        <v>14</v>
      </c>
      <c r="G352" s="4" t="s">
        <v>15</v>
      </c>
      <c r="H352" s="4">
        <v>469.0</v>
      </c>
      <c r="I352" s="4">
        <v>6092.31</v>
      </c>
      <c r="J352" s="4">
        <v>12.99</v>
      </c>
      <c r="K352" s="4" t="s">
        <v>16</v>
      </c>
      <c r="L352" s="4" t="s">
        <v>16</v>
      </c>
      <c r="M352" s="4" t="s">
        <v>43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">
        <v>45417.0</v>
      </c>
      <c r="B353" s="4">
        <v>2024.0</v>
      </c>
      <c r="C353" s="4">
        <v>5.0</v>
      </c>
      <c r="D353" s="4">
        <v>18.0</v>
      </c>
      <c r="E353" s="4" t="s">
        <v>17</v>
      </c>
      <c r="F353" s="4" t="s">
        <v>18</v>
      </c>
      <c r="G353" s="4" t="s">
        <v>19</v>
      </c>
      <c r="H353" s="4">
        <v>349.0</v>
      </c>
      <c r="I353" s="4">
        <v>5406.01</v>
      </c>
      <c r="J353" s="4">
        <v>15.49</v>
      </c>
      <c r="K353" s="4" t="s">
        <v>16</v>
      </c>
      <c r="L353" s="4" t="s">
        <v>16</v>
      </c>
      <c r="M353" s="4" t="s">
        <v>43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">
        <v>45417.0</v>
      </c>
      <c r="B354" s="4">
        <v>2024.0</v>
      </c>
      <c r="C354" s="4">
        <v>5.0</v>
      </c>
      <c r="D354" s="4">
        <v>18.0</v>
      </c>
      <c r="E354" s="4" t="s">
        <v>21</v>
      </c>
      <c r="F354" s="4" t="s">
        <v>22</v>
      </c>
      <c r="G354" s="4" t="s">
        <v>23</v>
      </c>
      <c r="H354" s="4">
        <v>421.0</v>
      </c>
      <c r="I354" s="4">
        <v>1679.79</v>
      </c>
      <c r="J354" s="4">
        <v>3.99</v>
      </c>
      <c r="K354" s="4" t="s">
        <v>24</v>
      </c>
      <c r="L354" s="4" t="s">
        <v>16</v>
      </c>
      <c r="M354" s="4" t="s">
        <v>43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">
        <v>45417.0</v>
      </c>
      <c r="B355" s="4">
        <v>2024.0</v>
      </c>
      <c r="C355" s="4">
        <v>5.0</v>
      </c>
      <c r="D355" s="4">
        <v>18.0</v>
      </c>
      <c r="E355" s="4" t="s">
        <v>25</v>
      </c>
      <c r="F355" s="4" t="s">
        <v>26</v>
      </c>
      <c r="G355" s="4" t="s">
        <v>27</v>
      </c>
      <c r="H355" s="4">
        <v>242.0</v>
      </c>
      <c r="I355" s="4">
        <v>1086.58</v>
      </c>
      <c r="J355" s="4">
        <v>4.49</v>
      </c>
      <c r="K355" s="4" t="s">
        <v>16</v>
      </c>
      <c r="L355" s="4" t="s">
        <v>16</v>
      </c>
      <c r="M355" s="4" t="s">
        <v>43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">
        <v>45417.0</v>
      </c>
      <c r="B356" s="4">
        <v>2024.0</v>
      </c>
      <c r="C356" s="4">
        <v>5.0</v>
      </c>
      <c r="D356" s="4">
        <v>18.0</v>
      </c>
      <c r="E356" s="4" t="s">
        <v>28</v>
      </c>
      <c r="F356" s="4" t="s">
        <v>29</v>
      </c>
      <c r="G356" s="4" t="s">
        <v>19</v>
      </c>
      <c r="H356" s="4">
        <v>204.0</v>
      </c>
      <c r="I356" s="4">
        <v>1833.96</v>
      </c>
      <c r="J356" s="4">
        <v>8.99</v>
      </c>
      <c r="K356" s="4" t="s">
        <v>16</v>
      </c>
      <c r="L356" s="4" t="s">
        <v>16</v>
      </c>
      <c r="M356" s="4" t="s">
        <v>43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">
        <v>45631.0</v>
      </c>
      <c r="B357" s="4">
        <v>2024.0</v>
      </c>
      <c r="C357" s="4">
        <v>5.0</v>
      </c>
      <c r="D357" s="4">
        <v>19.0</v>
      </c>
      <c r="E357" s="4" t="s">
        <v>13</v>
      </c>
      <c r="F357" s="4" t="s">
        <v>14</v>
      </c>
      <c r="G357" s="4" t="s">
        <v>15</v>
      </c>
      <c r="H357" s="4">
        <v>535.0</v>
      </c>
      <c r="I357" s="4">
        <v>6949.65</v>
      </c>
      <c r="J357" s="4">
        <v>12.99</v>
      </c>
      <c r="K357" s="4" t="s">
        <v>16</v>
      </c>
      <c r="L357" s="4" t="s">
        <v>16</v>
      </c>
      <c r="M357" s="4" t="s">
        <v>43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">
        <v>45631.0</v>
      </c>
      <c r="B358" s="4">
        <v>2024.0</v>
      </c>
      <c r="C358" s="4">
        <v>5.0</v>
      </c>
      <c r="D358" s="4">
        <v>19.0</v>
      </c>
      <c r="E358" s="4" t="s">
        <v>17</v>
      </c>
      <c r="F358" s="4" t="s">
        <v>18</v>
      </c>
      <c r="G358" s="4" t="s">
        <v>19</v>
      </c>
      <c r="H358" s="4">
        <v>355.0</v>
      </c>
      <c r="I358" s="4">
        <v>5498.95</v>
      </c>
      <c r="J358" s="4">
        <v>15.49</v>
      </c>
      <c r="K358" s="4" t="s">
        <v>16</v>
      </c>
      <c r="L358" s="4" t="s">
        <v>16</v>
      </c>
      <c r="M358" s="4" t="s">
        <v>43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">
        <v>45631.0</v>
      </c>
      <c r="B359" s="4">
        <v>2024.0</v>
      </c>
      <c r="C359" s="4">
        <v>5.0</v>
      </c>
      <c r="D359" s="4">
        <v>19.0</v>
      </c>
      <c r="E359" s="4" t="s">
        <v>21</v>
      </c>
      <c r="F359" s="4" t="s">
        <v>22</v>
      </c>
      <c r="G359" s="4" t="s">
        <v>23</v>
      </c>
      <c r="H359" s="4">
        <v>370.0</v>
      </c>
      <c r="I359" s="4">
        <v>1476.3</v>
      </c>
      <c r="J359" s="4">
        <v>3.99</v>
      </c>
      <c r="K359" s="4" t="s">
        <v>16</v>
      </c>
      <c r="L359" s="4" t="s">
        <v>16</v>
      </c>
      <c r="M359" s="4" t="s">
        <v>43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">
        <v>45631.0</v>
      </c>
      <c r="B360" s="4">
        <v>2024.0</v>
      </c>
      <c r="C360" s="4">
        <v>5.0</v>
      </c>
      <c r="D360" s="4">
        <v>19.0</v>
      </c>
      <c r="E360" s="4" t="s">
        <v>25</v>
      </c>
      <c r="F360" s="4" t="s">
        <v>26</v>
      </c>
      <c r="G360" s="4" t="s">
        <v>27</v>
      </c>
      <c r="H360" s="4">
        <v>189.0</v>
      </c>
      <c r="I360" s="4">
        <v>848.61</v>
      </c>
      <c r="J360" s="4">
        <v>4.49</v>
      </c>
      <c r="K360" s="4" t="s">
        <v>16</v>
      </c>
      <c r="L360" s="4" t="s">
        <v>16</v>
      </c>
      <c r="M360" s="4" t="s">
        <v>43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">
        <v>45631.0</v>
      </c>
      <c r="B361" s="4">
        <v>2024.0</v>
      </c>
      <c r="C361" s="4">
        <v>5.0</v>
      </c>
      <c r="D361" s="4">
        <v>19.0</v>
      </c>
      <c r="E361" s="4" t="s">
        <v>28</v>
      </c>
      <c r="F361" s="4" t="s">
        <v>29</v>
      </c>
      <c r="G361" s="4" t="s">
        <v>19</v>
      </c>
      <c r="H361" s="4">
        <v>370.0</v>
      </c>
      <c r="I361" s="4">
        <v>3326.3</v>
      </c>
      <c r="J361" s="4">
        <v>8.99</v>
      </c>
      <c r="K361" s="4" t="s">
        <v>24</v>
      </c>
      <c r="L361" s="4" t="s">
        <v>16</v>
      </c>
      <c r="M361" s="4" t="s">
        <v>43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" t="s">
        <v>83</v>
      </c>
      <c r="B362" s="4">
        <v>2024.0</v>
      </c>
      <c r="C362" s="4">
        <v>5.0</v>
      </c>
      <c r="D362" s="4">
        <v>20.0</v>
      </c>
      <c r="E362" s="4" t="s">
        <v>13</v>
      </c>
      <c r="F362" s="4" t="s">
        <v>14</v>
      </c>
      <c r="G362" s="4" t="s">
        <v>15</v>
      </c>
      <c r="H362" s="4">
        <v>796.0</v>
      </c>
      <c r="I362" s="4">
        <v>10340.04</v>
      </c>
      <c r="J362" s="4">
        <v>12.99</v>
      </c>
      <c r="K362" s="4" t="s">
        <v>24</v>
      </c>
      <c r="L362" s="4" t="s">
        <v>16</v>
      </c>
      <c r="M362" s="4" t="s">
        <v>43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" t="s">
        <v>83</v>
      </c>
      <c r="B363" s="4">
        <v>2024.0</v>
      </c>
      <c r="C363" s="4">
        <v>5.0</v>
      </c>
      <c r="D363" s="4">
        <v>20.0</v>
      </c>
      <c r="E363" s="4" t="s">
        <v>17</v>
      </c>
      <c r="F363" s="4" t="s">
        <v>18</v>
      </c>
      <c r="G363" s="4" t="s">
        <v>19</v>
      </c>
      <c r="H363" s="4">
        <v>264.0</v>
      </c>
      <c r="I363" s="4">
        <v>4089.36</v>
      </c>
      <c r="J363" s="4">
        <v>15.49</v>
      </c>
      <c r="K363" s="4" t="s">
        <v>16</v>
      </c>
      <c r="L363" s="4" t="s">
        <v>16</v>
      </c>
      <c r="M363" s="4" t="s">
        <v>43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" t="s">
        <v>83</v>
      </c>
      <c r="B364" s="4">
        <v>2024.0</v>
      </c>
      <c r="C364" s="4">
        <v>5.0</v>
      </c>
      <c r="D364" s="4">
        <v>20.0</v>
      </c>
      <c r="E364" s="4" t="s">
        <v>21</v>
      </c>
      <c r="F364" s="4" t="s">
        <v>22</v>
      </c>
      <c r="G364" s="4" t="s">
        <v>23</v>
      </c>
      <c r="H364" s="4">
        <v>82.0</v>
      </c>
      <c r="I364" s="4">
        <v>327.18</v>
      </c>
      <c r="J364" s="4">
        <v>3.99</v>
      </c>
      <c r="K364" s="4" t="s">
        <v>16</v>
      </c>
      <c r="L364" s="4" t="s">
        <v>24</v>
      </c>
      <c r="M364" s="4" t="s">
        <v>43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" t="s">
        <v>83</v>
      </c>
      <c r="B365" s="4">
        <v>2024.0</v>
      </c>
      <c r="C365" s="4">
        <v>5.0</v>
      </c>
      <c r="D365" s="4">
        <v>20.0</v>
      </c>
      <c r="E365" s="4" t="s">
        <v>25</v>
      </c>
      <c r="F365" s="4" t="s">
        <v>26</v>
      </c>
      <c r="G365" s="4" t="s">
        <v>27</v>
      </c>
      <c r="H365" s="4">
        <v>301.0</v>
      </c>
      <c r="I365" s="4">
        <v>1351.49</v>
      </c>
      <c r="J365" s="4">
        <v>4.49</v>
      </c>
      <c r="K365" s="4" t="s">
        <v>24</v>
      </c>
      <c r="L365" s="4" t="s">
        <v>16</v>
      </c>
      <c r="M365" s="4" t="s">
        <v>43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" t="s">
        <v>83</v>
      </c>
      <c r="B366" s="4">
        <v>2024.0</v>
      </c>
      <c r="C366" s="4">
        <v>5.0</v>
      </c>
      <c r="D366" s="4">
        <v>20.0</v>
      </c>
      <c r="E366" s="4" t="s">
        <v>28</v>
      </c>
      <c r="F366" s="4" t="s">
        <v>29</v>
      </c>
      <c r="G366" s="4" t="s">
        <v>19</v>
      </c>
      <c r="H366" s="4">
        <v>317.0</v>
      </c>
      <c r="I366" s="4">
        <v>2849.83</v>
      </c>
      <c r="J366" s="4">
        <v>8.99</v>
      </c>
      <c r="K366" s="4" t="s">
        <v>16</v>
      </c>
      <c r="L366" s="4" t="s">
        <v>16</v>
      </c>
      <c r="M366" s="4" t="s">
        <v>43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" t="s">
        <v>84</v>
      </c>
      <c r="B367" s="4">
        <v>2024.0</v>
      </c>
      <c r="C367" s="4">
        <v>5.0</v>
      </c>
      <c r="D367" s="4">
        <v>21.0</v>
      </c>
      <c r="E367" s="4" t="s">
        <v>13</v>
      </c>
      <c r="F367" s="4" t="s">
        <v>14</v>
      </c>
      <c r="G367" s="4" t="s">
        <v>15</v>
      </c>
      <c r="H367" s="4">
        <v>478.0</v>
      </c>
      <c r="I367" s="4">
        <v>6209.22</v>
      </c>
      <c r="J367" s="4">
        <v>12.99</v>
      </c>
      <c r="K367" s="4" t="s">
        <v>16</v>
      </c>
      <c r="L367" s="4" t="s">
        <v>16</v>
      </c>
      <c r="M367" s="4" t="s">
        <v>43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" t="s">
        <v>84</v>
      </c>
      <c r="B368" s="4">
        <v>2024.0</v>
      </c>
      <c r="C368" s="4">
        <v>5.0</v>
      </c>
      <c r="D368" s="4">
        <v>21.0</v>
      </c>
      <c r="E368" s="4" t="s">
        <v>17</v>
      </c>
      <c r="F368" s="4" t="s">
        <v>18</v>
      </c>
      <c r="G368" s="4" t="s">
        <v>19</v>
      </c>
      <c r="H368" s="4">
        <v>268.0</v>
      </c>
      <c r="I368" s="4">
        <v>4151.32</v>
      </c>
      <c r="J368" s="4">
        <v>15.49</v>
      </c>
      <c r="K368" s="4" t="s">
        <v>16</v>
      </c>
      <c r="L368" s="4" t="s">
        <v>16</v>
      </c>
      <c r="M368" s="4" t="s">
        <v>43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" t="s">
        <v>84</v>
      </c>
      <c r="B369" s="4">
        <v>2024.0</v>
      </c>
      <c r="C369" s="4">
        <v>5.0</v>
      </c>
      <c r="D369" s="4">
        <v>21.0</v>
      </c>
      <c r="E369" s="4" t="s">
        <v>21</v>
      </c>
      <c r="F369" s="4" t="s">
        <v>22</v>
      </c>
      <c r="G369" s="4" t="s">
        <v>23</v>
      </c>
      <c r="H369" s="4">
        <v>201.0</v>
      </c>
      <c r="I369" s="4">
        <v>801.99</v>
      </c>
      <c r="J369" s="4">
        <v>3.99</v>
      </c>
      <c r="K369" s="4" t="s">
        <v>16</v>
      </c>
      <c r="L369" s="4" t="s">
        <v>16</v>
      </c>
      <c r="M369" s="4" t="s">
        <v>43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" t="s">
        <v>84</v>
      </c>
      <c r="B370" s="4">
        <v>2024.0</v>
      </c>
      <c r="C370" s="4">
        <v>5.0</v>
      </c>
      <c r="D370" s="4">
        <v>21.0</v>
      </c>
      <c r="E370" s="4" t="s">
        <v>25</v>
      </c>
      <c r="F370" s="4" t="s">
        <v>26</v>
      </c>
      <c r="G370" s="4" t="s">
        <v>27</v>
      </c>
      <c r="H370" s="4">
        <v>211.0</v>
      </c>
      <c r="I370" s="4">
        <v>947.39</v>
      </c>
      <c r="J370" s="4">
        <v>4.49</v>
      </c>
      <c r="K370" s="4" t="s">
        <v>16</v>
      </c>
      <c r="L370" s="4" t="s">
        <v>16</v>
      </c>
      <c r="M370" s="4" t="s">
        <v>43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" t="s">
        <v>84</v>
      </c>
      <c r="B371" s="4">
        <v>2024.0</v>
      </c>
      <c r="C371" s="4">
        <v>5.0</v>
      </c>
      <c r="D371" s="4">
        <v>21.0</v>
      </c>
      <c r="E371" s="4" t="s">
        <v>28</v>
      </c>
      <c r="F371" s="4" t="s">
        <v>29</v>
      </c>
      <c r="G371" s="4" t="s">
        <v>19</v>
      </c>
      <c r="H371" s="4">
        <v>235.0</v>
      </c>
      <c r="I371" s="4">
        <v>2112.65</v>
      </c>
      <c r="J371" s="4">
        <v>8.99</v>
      </c>
      <c r="K371" s="4" t="s">
        <v>16</v>
      </c>
      <c r="L371" s="4" t="s">
        <v>16</v>
      </c>
      <c r="M371" s="4" t="s">
        <v>43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">
        <v>45328.0</v>
      </c>
      <c r="B372" s="4">
        <v>2024.0</v>
      </c>
      <c r="C372" s="4">
        <v>6.0</v>
      </c>
      <c r="D372" s="4">
        <v>22.0</v>
      </c>
      <c r="E372" s="4" t="s">
        <v>13</v>
      </c>
      <c r="F372" s="4" t="s">
        <v>14</v>
      </c>
      <c r="G372" s="4" t="s">
        <v>15</v>
      </c>
      <c r="H372" s="4">
        <v>477.0</v>
      </c>
      <c r="I372" s="4">
        <v>6196.23</v>
      </c>
      <c r="J372" s="4">
        <v>12.99</v>
      </c>
      <c r="K372" s="4" t="s">
        <v>16</v>
      </c>
      <c r="L372" s="4" t="s">
        <v>16</v>
      </c>
      <c r="M372" s="4" t="s">
        <v>47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">
        <v>45328.0</v>
      </c>
      <c r="B373" s="4">
        <v>2024.0</v>
      </c>
      <c r="C373" s="4">
        <v>6.0</v>
      </c>
      <c r="D373" s="4">
        <v>22.0</v>
      </c>
      <c r="E373" s="4" t="s">
        <v>17</v>
      </c>
      <c r="F373" s="4" t="s">
        <v>18</v>
      </c>
      <c r="G373" s="4" t="s">
        <v>19</v>
      </c>
      <c r="H373" s="4">
        <v>304.0</v>
      </c>
      <c r="I373" s="4">
        <v>4708.96</v>
      </c>
      <c r="J373" s="4">
        <v>15.49</v>
      </c>
      <c r="K373" s="4" t="s">
        <v>16</v>
      </c>
      <c r="L373" s="4" t="s">
        <v>16</v>
      </c>
      <c r="M373" s="4" t="s">
        <v>47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">
        <v>45328.0</v>
      </c>
      <c r="B374" s="4">
        <v>2024.0</v>
      </c>
      <c r="C374" s="4">
        <v>6.0</v>
      </c>
      <c r="D374" s="4">
        <v>22.0</v>
      </c>
      <c r="E374" s="4" t="s">
        <v>21</v>
      </c>
      <c r="F374" s="4" t="s">
        <v>22</v>
      </c>
      <c r="G374" s="4" t="s">
        <v>23</v>
      </c>
      <c r="H374" s="4">
        <v>268.0</v>
      </c>
      <c r="I374" s="4">
        <v>1069.32</v>
      </c>
      <c r="J374" s="4">
        <v>3.99</v>
      </c>
      <c r="K374" s="4" t="s">
        <v>16</v>
      </c>
      <c r="L374" s="4" t="s">
        <v>16</v>
      </c>
      <c r="M374" s="4" t="s">
        <v>47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">
        <v>45328.0</v>
      </c>
      <c r="B375" s="4">
        <v>2024.0</v>
      </c>
      <c r="C375" s="4">
        <v>6.0</v>
      </c>
      <c r="D375" s="4">
        <v>22.0</v>
      </c>
      <c r="E375" s="4" t="s">
        <v>25</v>
      </c>
      <c r="F375" s="4" t="s">
        <v>26</v>
      </c>
      <c r="G375" s="4" t="s">
        <v>27</v>
      </c>
      <c r="H375" s="4">
        <v>57.0</v>
      </c>
      <c r="I375" s="4">
        <v>255.93</v>
      </c>
      <c r="J375" s="4">
        <v>4.49</v>
      </c>
      <c r="K375" s="4" t="s">
        <v>16</v>
      </c>
      <c r="L375" s="4" t="s">
        <v>24</v>
      </c>
      <c r="M375" s="4" t="s">
        <v>47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">
        <v>45328.0</v>
      </c>
      <c r="B376" s="4">
        <v>2024.0</v>
      </c>
      <c r="C376" s="4">
        <v>6.0</v>
      </c>
      <c r="D376" s="4">
        <v>22.0</v>
      </c>
      <c r="E376" s="4" t="s">
        <v>28</v>
      </c>
      <c r="F376" s="4" t="s">
        <v>29</v>
      </c>
      <c r="G376" s="4" t="s">
        <v>19</v>
      </c>
      <c r="H376" s="4">
        <v>188.0</v>
      </c>
      <c r="I376" s="4">
        <v>1690.12</v>
      </c>
      <c r="J376" s="4">
        <v>8.99</v>
      </c>
      <c r="K376" s="4" t="s">
        <v>16</v>
      </c>
      <c r="L376" s="4" t="s">
        <v>16</v>
      </c>
      <c r="M376" s="4" t="s">
        <v>47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">
        <v>45541.0</v>
      </c>
      <c r="B377" s="4">
        <v>2024.0</v>
      </c>
      <c r="C377" s="4">
        <v>6.0</v>
      </c>
      <c r="D377" s="4">
        <v>23.0</v>
      </c>
      <c r="E377" s="4" t="s">
        <v>13</v>
      </c>
      <c r="F377" s="4" t="s">
        <v>14</v>
      </c>
      <c r="G377" s="4" t="s">
        <v>15</v>
      </c>
      <c r="H377" s="4">
        <v>529.0</v>
      </c>
      <c r="I377" s="4">
        <v>6871.71</v>
      </c>
      <c r="J377" s="4">
        <v>12.99</v>
      </c>
      <c r="K377" s="4" t="s">
        <v>16</v>
      </c>
      <c r="L377" s="4" t="s">
        <v>16</v>
      </c>
      <c r="M377" s="4" t="s">
        <v>47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">
        <v>45541.0</v>
      </c>
      <c r="B378" s="4">
        <v>2024.0</v>
      </c>
      <c r="C378" s="4">
        <v>6.0</v>
      </c>
      <c r="D378" s="4">
        <v>23.0</v>
      </c>
      <c r="E378" s="4" t="s">
        <v>17</v>
      </c>
      <c r="F378" s="4" t="s">
        <v>18</v>
      </c>
      <c r="G378" s="4" t="s">
        <v>19</v>
      </c>
      <c r="H378" s="4">
        <v>325.0</v>
      </c>
      <c r="I378" s="4">
        <v>5034.25</v>
      </c>
      <c r="J378" s="4">
        <v>15.49</v>
      </c>
      <c r="K378" s="4" t="s">
        <v>16</v>
      </c>
      <c r="L378" s="4" t="s">
        <v>16</v>
      </c>
      <c r="M378" s="4" t="s">
        <v>47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">
        <v>45541.0</v>
      </c>
      <c r="B379" s="4">
        <v>2024.0</v>
      </c>
      <c r="C379" s="4">
        <v>6.0</v>
      </c>
      <c r="D379" s="4">
        <v>23.0</v>
      </c>
      <c r="E379" s="4" t="s">
        <v>21</v>
      </c>
      <c r="F379" s="4" t="s">
        <v>22</v>
      </c>
      <c r="G379" s="4" t="s">
        <v>23</v>
      </c>
      <c r="H379" s="4">
        <v>289.0</v>
      </c>
      <c r="I379" s="4">
        <v>1153.11</v>
      </c>
      <c r="J379" s="4">
        <v>3.99</v>
      </c>
      <c r="K379" s="4" t="s">
        <v>16</v>
      </c>
      <c r="L379" s="4" t="s">
        <v>16</v>
      </c>
      <c r="M379" s="4" t="s">
        <v>47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">
        <v>45541.0</v>
      </c>
      <c r="B380" s="4">
        <v>2024.0</v>
      </c>
      <c r="C380" s="4">
        <v>6.0</v>
      </c>
      <c r="D380" s="4">
        <v>23.0</v>
      </c>
      <c r="E380" s="4" t="s">
        <v>25</v>
      </c>
      <c r="F380" s="4" t="s">
        <v>26</v>
      </c>
      <c r="G380" s="4" t="s">
        <v>27</v>
      </c>
      <c r="H380" s="4">
        <v>189.0</v>
      </c>
      <c r="I380" s="4">
        <v>848.61</v>
      </c>
      <c r="J380" s="4">
        <v>4.49</v>
      </c>
      <c r="K380" s="4" t="s">
        <v>16</v>
      </c>
      <c r="L380" s="4" t="s">
        <v>16</v>
      </c>
      <c r="M380" s="4" t="s">
        <v>47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">
        <v>45541.0</v>
      </c>
      <c r="B381" s="4">
        <v>2024.0</v>
      </c>
      <c r="C381" s="4">
        <v>6.0</v>
      </c>
      <c r="D381" s="4">
        <v>23.0</v>
      </c>
      <c r="E381" s="4" t="s">
        <v>28</v>
      </c>
      <c r="F381" s="4" t="s">
        <v>29</v>
      </c>
      <c r="G381" s="4" t="s">
        <v>19</v>
      </c>
      <c r="H381" s="4">
        <v>359.0</v>
      </c>
      <c r="I381" s="4">
        <v>3227.41</v>
      </c>
      <c r="J381" s="4">
        <v>8.99</v>
      </c>
      <c r="K381" s="4" t="s">
        <v>24</v>
      </c>
      <c r="L381" s="4" t="s">
        <v>16</v>
      </c>
      <c r="M381" s="4" t="s">
        <v>47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" t="s">
        <v>85</v>
      </c>
      <c r="B382" s="4">
        <v>2024.0</v>
      </c>
      <c r="C382" s="4">
        <v>6.0</v>
      </c>
      <c r="D382" s="4">
        <v>24.0</v>
      </c>
      <c r="E382" s="4" t="s">
        <v>13</v>
      </c>
      <c r="F382" s="4" t="s">
        <v>14</v>
      </c>
      <c r="G382" s="4" t="s">
        <v>15</v>
      </c>
      <c r="H382" s="4">
        <v>391.0</v>
      </c>
      <c r="I382" s="4">
        <v>5079.09</v>
      </c>
      <c r="J382" s="4">
        <v>12.99</v>
      </c>
      <c r="K382" s="4" t="s">
        <v>16</v>
      </c>
      <c r="L382" s="4" t="s">
        <v>16</v>
      </c>
      <c r="M382" s="4" t="s">
        <v>47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" t="s">
        <v>85</v>
      </c>
      <c r="B383" s="4">
        <v>2024.0</v>
      </c>
      <c r="C383" s="4">
        <v>6.0</v>
      </c>
      <c r="D383" s="4">
        <v>24.0</v>
      </c>
      <c r="E383" s="4" t="s">
        <v>17</v>
      </c>
      <c r="F383" s="4" t="s">
        <v>18</v>
      </c>
      <c r="G383" s="4" t="s">
        <v>19</v>
      </c>
      <c r="H383" s="4">
        <v>551.0</v>
      </c>
      <c r="I383" s="4">
        <v>8534.99</v>
      </c>
      <c r="J383" s="4">
        <v>15.49</v>
      </c>
      <c r="K383" s="4" t="s">
        <v>24</v>
      </c>
      <c r="L383" s="4" t="s">
        <v>16</v>
      </c>
      <c r="M383" s="4" t="s">
        <v>47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" t="s">
        <v>85</v>
      </c>
      <c r="B384" s="4">
        <v>2024.0</v>
      </c>
      <c r="C384" s="4">
        <v>6.0</v>
      </c>
      <c r="D384" s="4">
        <v>24.0</v>
      </c>
      <c r="E384" s="4" t="s">
        <v>21</v>
      </c>
      <c r="F384" s="4" t="s">
        <v>22</v>
      </c>
      <c r="G384" s="4" t="s">
        <v>23</v>
      </c>
      <c r="H384" s="4">
        <v>305.0</v>
      </c>
      <c r="I384" s="4">
        <v>1216.95</v>
      </c>
      <c r="J384" s="4">
        <v>3.99</v>
      </c>
      <c r="K384" s="4" t="s">
        <v>16</v>
      </c>
      <c r="L384" s="4" t="s">
        <v>16</v>
      </c>
      <c r="M384" s="4" t="s">
        <v>47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" t="s">
        <v>85</v>
      </c>
      <c r="B385" s="4">
        <v>2024.0</v>
      </c>
      <c r="C385" s="4">
        <v>6.0</v>
      </c>
      <c r="D385" s="4">
        <v>24.0</v>
      </c>
      <c r="E385" s="4" t="s">
        <v>25</v>
      </c>
      <c r="F385" s="4" t="s">
        <v>26</v>
      </c>
      <c r="G385" s="4" t="s">
        <v>27</v>
      </c>
      <c r="H385" s="4">
        <v>232.0</v>
      </c>
      <c r="I385" s="4">
        <v>1041.68</v>
      </c>
      <c r="J385" s="4">
        <v>4.49</v>
      </c>
      <c r="K385" s="4" t="s">
        <v>24</v>
      </c>
      <c r="L385" s="4" t="s">
        <v>16</v>
      </c>
      <c r="M385" s="4" t="s">
        <v>47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" t="s">
        <v>85</v>
      </c>
      <c r="B386" s="4">
        <v>2024.0</v>
      </c>
      <c r="C386" s="4">
        <v>6.0</v>
      </c>
      <c r="D386" s="4">
        <v>24.0</v>
      </c>
      <c r="E386" s="4" t="s">
        <v>28</v>
      </c>
      <c r="F386" s="4" t="s">
        <v>29</v>
      </c>
      <c r="G386" s="4" t="s">
        <v>19</v>
      </c>
      <c r="H386" s="4">
        <v>216.0</v>
      </c>
      <c r="I386" s="4">
        <v>1941.84</v>
      </c>
      <c r="J386" s="4">
        <v>8.99</v>
      </c>
      <c r="K386" s="4" t="s">
        <v>16</v>
      </c>
      <c r="L386" s="4" t="s">
        <v>16</v>
      </c>
      <c r="M386" s="4" t="s">
        <v>47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" t="s">
        <v>86</v>
      </c>
      <c r="B387" s="4">
        <v>2024.0</v>
      </c>
      <c r="C387" s="4">
        <v>6.0</v>
      </c>
      <c r="D387" s="4">
        <v>25.0</v>
      </c>
      <c r="E387" s="4" t="s">
        <v>13</v>
      </c>
      <c r="F387" s="4" t="s">
        <v>14</v>
      </c>
      <c r="G387" s="4" t="s">
        <v>15</v>
      </c>
      <c r="H387" s="4">
        <v>277.0</v>
      </c>
      <c r="I387" s="4">
        <v>3598.23</v>
      </c>
      <c r="J387" s="4">
        <v>12.99</v>
      </c>
      <c r="K387" s="4" t="s">
        <v>16</v>
      </c>
      <c r="L387" s="4" t="s">
        <v>16</v>
      </c>
      <c r="M387" s="4" t="s">
        <v>47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" t="s">
        <v>86</v>
      </c>
      <c r="B388" s="4">
        <v>2024.0</v>
      </c>
      <c r="C388" s="4">
        <v>6.0</v>
      </c>
      <c r="D388" s="4">
        <v>25.0</v>
      </c>
      <c r="E388" s="4" t="s">
        <v>17</v>
      </c>
      <c r="F388" s="4" t="s">
        <v>18</v>
      </c>
      <c r="G388" s="4" t="s">
        <v>19</v>
      </c>
      <c r="H388" s="4">
        <v>265.0</v>
      </c>
      <c r="I388" s="4">
        <v>4104.85</v>
      </c>
      <c r="J388" s="4">
        <v>15.49</v>
      </c>
      <c r="K388" s="4" t="s">
        <v>16</v>
      </c>
      <c r="L388" s="4" t="s">
        <v>16</v>
      </c>
      <c r="M388" s="4" t="s">
        <v>47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" t="s">
        <v>86</v>
      </c>
      <c r="B389" s="4">
        <v>2024.0</v>
      </c>
      <c r="C389" s="4">
        <v>6.0</v>
      </c>
      <c r="D389" s="4">
        <v>25.0</v>
      </c>
      <c r="E389" s="4" t="s">
        <v>21</v>
      </c>
      <c r="F389" s="4" t="s">
        <v>22</v>
      </c>
      <c r="G389" s="4" t="s">
        <v>23</v>
      </c>
      <c r="H389" s="4">
        <v>377.0</v>
      </c>
      <c r="I389" s="4">
        <v>1504.23</v>
      </c>
      <c r="J389" s="4">
        <v>3.99</v>
      </c>
      <c r="K389" s="4" t="s">
        <v>24</v>
      </c>
      <c r="L389" s="4" t="s">
        <v>16</v>
      </c>
      <c r="M389" s="4" t="s">
        <v>47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" t="s">
        <v>86</v>
      </c>
      <c r="B390" s="4">
        <v>2024.0</v>
      </c>
      <c r="C390" s="4">
        <v>6.0</v>
      </c>
      <c r="D390" s="4">
        <v>25.0</v>
      </c>
      <c r="E390" s="4" t="s">
        <v>25</v>
      </c>
      <c r="F390" s="4" t="s">
        <v>26</v>
      </c>
      <c r="G390" s="4" t="s">
        <v>27</v>
      </c>
      <c r="H390" s="4">
        <v>67.0</v>
      </c>
      <c r="I390" s="4">
        <v>300.83</v>
      </c>
      <c r="J390" s="4">
        <v>4.49</v>
      </c>
      <c r="K390" s="4" t="s">
        <v>16</v>
      </c>
      <c r="L390" s="4" t="s">
        <v>24</v>
      </c>
      <c r="M390" s="4" t="s">
        <v>47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" t="s">
        <v>86</v>
      </c>
      <c r="B391" s="4">
        <v>2024.0</v>
      </c>
      <c r="C391" s="4">
        <v>6.0</v>
      </c>
      <c r="D391" s="4">
        <v>25.0</v>
      </c>
      <c r="E391" s="4" t="s">
        <v>28</v>
      </c>
      <c r="F391" s="4" t="s">
        <v>29</v>
      </c>
      <c r="G391" s="4" t="s">
        <v>19</v>
      </c>
      <c r="H391" s="4">
        <v>263.0</v>
      </c>
      <c r="I391" s="4">
        <v>2364.37</v>
      </c>
      <c r="J391" s="4">
        <v>8.99</v>
      </c>
      <c r="K391" s="4" t="s">
        <v>16</v>
      </c>
      <c r="L391" s="4" t="s">
        <v>16</v>
      </c>
      <c r="M391" s="4" t="s">
        <v>47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" t="s">
        <v>87</v>
      </c>
      <c r="B392" s="4">
        <v>2024.0</v>
      </c>
      <c r="C392" s="4">
        <v>6.0</v>
      </c>
      <c r="D392" s="4">
        <v>26.0</v>
      </c>
      <c r="E392" s="4" t="s">
        <v>13</v>
      </c>
      <c r="F392" s="4" t="s">
        <v>14</v>
      </c>
      <c r="G392" s="4" t="s">
        <v>15</v>
      </c>
      <c r="H392" s="4">
        <v>588.0</v>
      </c>
      <c r="I392" s="4">
        <v>7638.12</v>
      </c>
      <c r="J392" s="4">
        <v>12.99</v>
      </c>
      <c r="K392" s="4" t="s">
        <v>24</v>
      </c>
      <c r="L392" s="4" t="s">
        <v>16</v>
      </c>
      <c r="M392" s="4" t="s">
        <v>47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" t="s">
        <v>87</v>
      </c>
      <c r="B393" s="4">
        <v>2024.0</v>
      </c>
      <c r="C393" s="4">
        <v>6.0</v>
      </c>
      <c r="D393" s="4">
        <v>26.0</v>
      </c>
      <c r="E393" s="4" t="s">
        <v>17</v>
      </c>
      <c r="F393" s="4" t="s">
        <v>18</v>
      </c>
      <c r="G393" s="4" t="s">
        <v>19</v>
      </c>
      <c r="H393" s="4">
        <v>278.0</v>
      </c>
      <c r="I393" s="4">
        <v>4306.22</v>
      </c>
      <c r="J393" s="4">
        <v>15.49</v>
      </c>
      <c r="K393" s="4" t="s">
        <v>16</v>
      </c>
      <c r="L393" s="4" t="s">
        <v>16</v>
      </c>
      <c r="M393" s="4" t="s">
        <v>47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" t="s">
        <v>87</v>
      </c>
      <c r="B394" s="4">
        <v>2024.0</v>
      </c>
      <c r="C394" s="4">
        <v>6.0</v>
      </c>
      <c r="D394" s="4">
        <v>26.0</v>
      </c>
      <c r="E394" s="4" t="s">
        <v>21</v>
      </c>
      <c r="F394" s="4" t="s">
        <v>22</v>
      </c>
      <c r="G394" s="4" t="s">
        <v>23</v>
      </c>
      <c r="H394" s="4">
        <v>344.0</v>
      </c>
      <c r="I394" s="4">
        <v>1372.56</v>
      </c>
      <c r="J394" s="4">
        <v>3.99</v>
      </c>
      <c r="K394" s="4" t="s">
        <v>16</v>
      </c>
      <c r="L394" s="4" t="s">
        <v>16</v>
      </c>
      <c r="M394" s="4" t="s">
        <v>47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" t="s">
        <v>87</v>
      </c>
      <c r="B395" s="4">
        <v>2024.0</v>
      </c>
      <c r="C395" s="4">
        <v>6.0</v>
      </c>
      <c r="D395" s="4">
        <v>26.0</v>
      </c>
      <c r="E395" s="4" t="s">
        <v>25</v>
      </c>
      <c r="F395" s="4" t="s">
        <v>26</v>
      </c>
      <c r="G395" s="4" t="s">
        <v>27</v>
      </c>
      <c r="H395" s="4">
        <v>202.0</v>
      </c>
      <c r="I395" s="4">
        <v>906.98</v>
      </c>
      <c r="J395" s="4">
        <v>4.49</v>
      </c>
      <c r="K395" s="4" t="s">
        <v>16</v>
      </c>
      <c r="L395" s="4" t="s">
        <v>16</v>
      </c>
      <c r="M395" s="4" t="s">
        <v>47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" t="s">
        <v>87</v>
      </c>
      <c r="B396" s="4">
        <v>2024.0</v>
      </c>
      <c r="C396" s="4">
        <v>6.0</v>
      </c>
      <c r="D396" s="4">
        <v>26.0</v>
      </c>
      <c r="E396" s="4" t="s">
        <v>28</v>
      </c>
      <c r="F396" s="4" t="s">
        <v>29</v>
      </c>
      <c r="G396" s="4" t="s">
        <v>19</v>
      </c>
      <c r="H396" s="4">
        <v>394.0</v>
      </c>
      <c r="I396" s="4">
        <v>3542.06</v>
      </c>
      <c r="J396" s="4">
        <v>8.99</v>
      </c>
      <c r="K396" s="4" t="s">
        <v>24</v>
      </c>
      <c r="L396" s="4" t="s">
        <v>16</v>
      </c>
      <c r="M396" s="4" t="s">
        <v>47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">
        <v>45480.0</v>
      </c>
      <c r="B397" s="4">
        <v>2024.0</v>
      </c>
      <c r="C397" s="4">
        <v>7.0</v>
      </c>
      <c r="D397" s="4">
        <v>27.0</v>
      </c>
      <c r="E397" s="4" t="s">
        <v>13</v>
      </c>
      <c r="F397" s="4" t="s">
        <v>14</v>
      </c>
      <c r="G397" s="4" t="s">
        <v>15</v>
      </c>
      <c r="H397" s="4">
        <v>696.0</v>
      </c>
      <c r="I397" s="4">
        <v>9041.04</v>
      </c>
      <c r="J397" s="4">
        <v>12.99</v>
      </c>
      <c r="K397" s="4" t="s">
        <v>24</v>
      </c>
      <c r="L397" s="4" t="s">
        <v>16</v>
      </c>
      <c r="M397" s="4" t="s">
        <v>50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">
        <v>45480.0</v>
      </c>
      <c r="B398" s="4">
        <v>2024.0</v>
      </c>
      <c r="C398" s="4">
        <v>7.0</v>
      </c>
      <c r="D398" s="4">
        <v>27.0</v>
      </c>
      <c r="E398" s="4" t="s">
        <v>17</v>
      </c>
      <c r="F398" s="4" t="s">
        <v>18</v>
      </c>
      <c r="G398" s="4" t="s">
        <v>19</v>
      </c>
      <c r="H398" s="4">
        <v>343.0</v>
      </c>
      <c r="I398" s="4">
        <v>5313.07</v>
      </c>
      <c r="J398" s="4">
        <v>15.49</v>
      </c>
      <c r="K398" s="4" t="s">
        <v>16</v>
      </c>
      <c r="L398" s="4" t="s">
        <v>16</v>
      </c>
      <c r="M398" s="4" t="s">
        <v>50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">
        <v>45480.0</v>
      </c>
      <c r="B399" s="4">
        <v>2024.0</v>
      </c>
      <c r="C399" s="4">
        <v>7.0</v>
      </c>
      <c r="D399" s="4">
        <v>27.0</v>
      </c>
      <c r="E399" s="4" t="s">
        <v>21</v>
      </c>
      <c r="F399" s="4" t="s">
        <v>22</v>
      </c>
      <c r="G399" s="4" t="s">
        <v>23</v>
      </c>
      <c r="H399" s="4">
        <v>287.0</v>
      </c>
      <c r="I399" s="4">
        <v>1145.13</v>
      </c>
      <c r="J399" s="4">
        <v>3.99</v>
      </c>
      <c r="K399" s="4" t="s">
        <v>16</v>
      </c>
      <c r="L399" s="4" t="s">
        <v>16</v>
      </c>
      <c r="M399" s="4" t="s">
        <v>50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">
        <v>45480.0</v>
      </c>
      <c r="B400" s="4">
        <v>2024.0</v>
      </c>
      <c r="C400" s="4">
        <v>7.0</v>
      </c>
      <c r="D400" s="4">
        <v>27.0</v>
      </c>
      <c r="E400" s="4" t="s">
        <v>25</v>
      </c>
      <c r="F400" s="4" t="s">
        <v>26</v>
      </c>
      <c r="G400" s="4" t="s">
        <v>27</v>
      </c>
      <c r="H400" s="4">
        <v>220.0</v>
      </c>
      <c r="I400" s="4">
        <v>987.8</v>
      </c>
      <c r="J400" s="4">
        <v>4.49</v>
      </c>
      <c r="K400" s="4" t="s">
        <v>16</v>
      </c>
      <c r="L400" s="4" t="s">
        <v>16</v>
      </c>
      <c r="M400" s="4" t="s">
        <v>50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">
        <v>45480.0</v>
      </c>
      <c r="B401" s="4">
        <v>2024.0</v>
      </c>
      <c r="C401" s="4">
        <v>7.0</v>
      </c>
      <c r="D401" s="4">
        <v>27.0</v>
      </c>
      <c r="E401" s="4" t="s">
        <v>28</v>
      </c>
      <c r="F401" s="4" t="s">
        <v>29</v>
      </c>
      <c r="G401" s="4" t="s">
        <v>19</v>
      </c>
      <c r="H401" s="4">
        <v>239.0</v>
      </c>
      <c r="I401" s="4">
        <v>2148.61</v>
      </c>
      <c r="J401" s="4">
        <v>8.99</v>
      </c>
      <c r="K401" s="4" t="s">
        <v>16</v>
      </c>
      <c r="L401" s="4" t="s">
        <v>16</v>
      </c>
      <c r="M401" s="4" t="s">
        <v>50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" t="s">
        <v>88</v>
      </c>
      <c r="B402" s="4">
        <v>2024.0</v>
      </c>
      <c r="C402" s="4">
        <v>7.0</v>
      </c>
      <c r="D402" s="4">
        <v>28.0</v>
      </c>
      <c r="E402" s="4" t="s">
        <v>13</v>
      </c>
      <c r="F402" s="4" t="s">
        <v>14</v>
      </c>
      <c r="G402" s="4" t="s">
        <v>15</v>
      </c>
      <c r="H402" s="4">
        <v>394.0</v>
      </c>
      <c r="I402" s="4">
        <v>5118.06</v>
      </c>
      <c r="J402" s="4">
        <v>12.99</v>
      </c>
      <c r="K402" s="4" t="s">
        <v>16</v>
      </c>
      <c r="L402" s="4" t="s">
        <v>16</v>
      </c>
      <c r="M402" s="4" t="s">
        <v>50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" t="s">
        <v>88</v>
      </c>
      <c r="B403" s="4">
        <v>2024.0</v>
      </c>
      <c r="C403" s="4">
        <v>7.0</v>
      </c>
      <c r="D403" s="4">
        <v>28.0</v>
      </c>
      <c r="E403" s="4" t="s">
        <v>17</v>
      </c>
      <c r="F403" s="4" t="s">
        <v>18</v>
      </c>
      <c r="G403" s="4" t="s">
        <v>19</v>
      </c>
      <c r="H403" s="4">
        <v>288.0</v>
      </c>
      <c r="I403" s="4">
        <v>4461.12</v>
      </c>
      <c r="J403" s="4">
        <v>15.49</v>
      </c>
      <c r="K403" s="4" t="s">
        <v>16</v>
      </c>
      <c r="L403" s="4" t="s">
        <v>16</v>
      </c>
      <c r="M403" s="4" t="s">
        <v>50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" t="s">
        <v>88</v>
      </c>
      <c r="B404" s="4">
        <v>2024.0</v>
      </c>
      <c r="C404" s="4">
        <v>7.0</v>
      </c>
      <c r="D404" s="4">
        <v>28.0</v>
      </c>
      <c r="E404" s="4" t="s">
        <v>21</v>
      </c>
      <c r="F404" s="4" t="s">
        <v>22</v>
      </c>
      <c r="G404" s="4" t="s">
        <v>23</v>
      </c>
      <c r="H404" s="4">
        <v>293.0</v>
      </c>
      <c r="I404" s="4">
        <v>1169.07</v>
      </c>
      <c r="J404" s="4">
        <v>3.99</v>
      </c>
      <c r="K404" s="4" t="s">
        <v>16</v>
      </c>
      <c r="L404" s="4" t="s">
        <v>16</v>
      </c>
      <c r="M404" s="4" t="s">
        <v>50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" t="s">
        <v>88</v>
      </c>
      <c r="B405" s="4">
        <v>2024.0</v>
      </c>
      <c r="C405" s="4">
        <v>7.0</v>
      </c>
      <c r="D405" s="4">
        <v>28.0</v>
      </c>
      <c r="E405" s="4" t="s">
        <v>25</v>
      </c>
      <c r="F405" s="4" t="s">
        <v>26</v>
      </c>
      <c r="G405" s="4" t="s">
        <v>27</v>
      </c>
      <c r="H405" s="4">
        <v>168.0</v>
      </c>
      <c r="I405" s="4">
        <v>754.32</v>
      </c>
      <c r="J405" s="4">
        <v>4.49</v>
      </c>
      <c r="K405" s="4" t="s">
        <v>16</v>
      </c>
      <c r="L405" s="4" t="s">
        <v>16</v>
      </c>
      <c r="M405" s="4" t="s">
        <v>50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" t="s">
        <v>88</v>
      </c>
      <c r="B406" s="4">
        <v>2024.0</v>
      </c>
      <c r="C406" s="4">
        <v>7.0</v>
      </c>
      <c r="D406" s="4">
        <v>28.0</v>
      </c>
      <c r="E406" s="4" t="s">
        <v>28</v>
      </c>
      <c r="F406" s="4" t="s">
        <v>29</v>
      </c>
      <c r="G406" s="4" t="s">
        <v>19</v>
      </c>
      <c r="H406" s="4">
        <v>234.0</v>
      </c>
      <c r="I406" s="4">
        <v>2103.66</v>
      </c>
      <c r="J406" s="4">
        <v>8.99</v>
      </c>
      <c r="K406" s="4" t="s">
        <v>16</v>
      </c>
      <c r="L406" s="4" t="s">
        <v>16</v>
      </c>
      <c r="M406" s="4" t="s">
        <v>50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" t="s">
        <v>89</v>
      </c>
      <c r="B407" s="4">
        <v>2024.0</v>
      </c>
      <c r="C407" s="4">
        <v>7.0</v>
      </c>
      <c r="D407" s="4">
        <v>29.0</v>
      </c>
      <c r="E407" s="4" t="s">
        <v>13</v>
      </c>
      <c r="F407" s="4" t="s">
        <v>14</v>
      </c>
      <c r="G407" s="4" t="s">
        <v>15</v>
      </c>
      <c r="H407" s="4">
        <v>186.0</v>
      </c>
      <c r="I407" s="4">
        <v>2416.14</v>
      </c>
      <c r="J407" s="4">
        <v>12.99</v>
      </c>
      <c r="K407" s="4" t="s">
        <v>24</v>
      </c>
      <c r="L407" s="4" t="s">
        <v>24</v>
      </c>
      <c r="M407" s="4" t="s">
        <v>50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" t="s">
        <v>89</v>
      </c>
      <c r="B408" s="4">
        <v>2024.0</v>
      </c>
      <c r="C408" s="4">
        <v>7.0</v>
      </c>
      <c r="D408" s="4">
        <v>29.0</v>
      </c>
      <c r="E408" s="4" t="s">
        <v>17</v>
      </c>
      <c r="F408" s="4" t="s">
        <v>18</v>
      </c>
      <c r="G408" s="4" t="s">
        <v>19</v>
      </c>
      <c r="H408" s="4">
        <v>299.0</v>
      </c>
      <c r="I408" s="4">
        <v>4631.51</v>
      </c>
      <c r="J408" s="4">
        <v>15.49</v>
      </c>
      <c r="K408" s="4" t="s">
        <v>16</v>
      </c>
      <c r="L408" s="4" t="s">
        <v>16</v>
      </c>
      <c r="M408" s="4" t="s">
        <v>50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" t="s">
        <v>89</v>
      </c>
      <c r="B409" s="4">
        <v>2024.0</v>
      </c>
      <c r="C409" s="4">
        <v>7.0</v>
      </c>
      <c r="D409" s="4">
        <v>29.0</v>
      </c>
      <c r="E409" s="4" t="s">
        <v>21</v>
      </c>
      <c r="F409" s="4" t="s">
        <v>22</v>
      </c>
      <c r="G409" s="4" t="s">
        <v>23</v>
      </c>
      <c r="H409" s="4">
        <v>204.0</v>
      </c>
      <c r="I409" s="4">
        <v>813.96</v>
      </c>
      <c r="J409" s="4">
        <v>3.99</v>
      </c>
      <c r="K409" s="4" t="s">
        <v>16</v>
      </c>
      <c r="L409" s="4" t="s">
        <v>16</v>
      </c>
      <c r="M409" s="4" t="s">
        <v>50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" t="s">
        <v>89</v>
      </c>
      <c r="B410" s="4">
        <v>2024.0</v>
      </c>
      <c r="C410" s="4">
        <v>7.0</v>
      </c>
      <c r="D410" s="4">
        <v>29.0</v>
      </c>
      <c r="E410" s="4" t="s">
        <v>25</v>
      </c>
      <c r="F410" s="4" t="s">
        <v>26</v>
      </c>
      <c r="G410" s="4" t="s">
        <v>27</v>
      </c>
      <c r="H410" s="4">
        <v>45.0</v>
      </c>
      <c r="I410" s="4">
        <v>202.05</v>
      </c>
      <c r="J410" s="4">
        <v>4.49</v>
      </c>
      <c r="K410" s="4" t="s">
        <v>16</v>
      </c>
      <c r="L410" s="4" t="s">
        <v>24</v>
      </c>
      <c r="M410" s="4" t="s">
        <v>50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" t="s">
        <v>89</v>
      </c>
      <c r="B411" s="4">
        <v>2024.0</v>
      </c>
      <c r="C411" s="4">
        <v>7.0</v>
      </c>
      <c r="D411" s="4">
        <v>29.0</v>
      </c>
      <c r="E411" s="4" t="s">
        <v>28</v>
      </c>
      <c r="F411" s="4" t="s">
        <v>29</v>
      </c>
      <c r="G411" s="4" t="s">
        <v>19</v>
      </c>
      <c r="H411" s="4">
        <v>182.0</v>
      </c>
      <c r="I411" s="4">
        <v>1636.18</v>
      </c>
      <c r="J411" s="4">
        <v>8.99</v>
      </c>
      <c r="K411" s="4" t="s">
        <v>16</v>
      </c>
      <c r="L411" s="4" t="s">
        <v>16</v>
      </c>
      <c r="M411" s="4" t="s">
        <v>50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" t="s">
        <v>90</v>
      </c>
      <c r="B412" s="4">
        <v>2024.0</v>
      </c>
      <c r="C412" s="4">
        <v>7.0</v>
      </c>
      <c r="D412" s="4">
        <v>30.0</v>
      </c>
      <c r="E412" s="4" t="s">
        <v>13</v>
      </c>
      <c r="F412" s="4" t="s">
        <v>14</v>
      </c>
      <c r="G412" s="4" t="s">
        <v>15</v>
      </c>
      <c r="H412" s="4">
        <v>548.0</v>
      </c>
      <c r="I412" s="4">
        <v>7118.52</v>
      </c>
      <c r="J412" s="4">
        <v>12.99</v>
      </c>
      <c r="K412" s="4" t="s">
        <v>16</v>
      </c>
      <c r="L412" s="4" t="s">
        <v>16</v>
      </c>
      <c r="M412" s="4" t="s">
        <v>50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" t="s">
        <v>90</v>
      </c>
      <c r="B413" s="4">
        <v>2024.0</v>
      </c>
      <c r="C413" s="4">
        <v>7.0</v>
      </c>
      <c r="D413" s="4">
        <v>30.0</v>
      </c>
      <c r="E413" s="4" t="s">
        <v>17</v>
      </c>
      <c r="F413" s="4" t="s">
        <v>18</v>
      </c>
      <c r="G413" s="4" t="s">
        <v>19</v>
      </c>
      <c r="H413" s="4">
        <v>290.0</v>
      </c>
      <c r="I413" s="4">
        <v>4492.1</v>
      </c>
      <c r="J413" s="4">
        <v>15.49</v>
      </c>
      <c r="K413" s="4" t="s">
        <v>16</v>
      </c>
      <c r="L413" s="4" t="s">
        <v>16</v>
      </c>
      <c r="M413" s="4" t="s">
        <v>50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" t="s">
        <v>90</v>
      </c>
      <c r="B414" s="4">
        <v>2024.0</v>
      </c>
      <c r="C414" s="4">
        <v>7.0</v>
      </c>
      <c r="D414" s="4">
        <v>30.0</v>
      </c>
      <c r="E414" s="4" t="s">
        <v>21</v>
      </c>
      <c r="F414" s="4" t="s">
        <v>22</v>
      </c>
      <c r="G414" s="4" t="s">
        <v>23</v>
      </c>
      <c r="H414" s="4">
        <v>299.0</v>
      </c>
      <c r="I414" s="4">
        <v>1193.01</v>
      </c>
      <c r="J414" s="4">
        <v>3.99</v>
      </c>
      <c r="K414" s="4" t="s">
        <v>16</v>
      </c>
      <c r="L414" s="4" t="s">
        <v>16</v>
      </c>
      <c r="M414" s="4" t="s">
        <v>50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" t="s">
        <v>90</v>
      </c>
      <c r="B415" s="4">
        <v>2024.0</v>
      </c>
      <c r="C415" s="4">
        <v>7.0</v>
      </c>
      <c r="D415" s="4">
        <v>30.0</v>
      </c>
      <c r="E415" s="4" t="s">
        <v>25</v>
      </c>
      <c r="F415" s="4" t="s">
        <v>26</v>
      </c>
      <c r="G415" s="4" t="s">
        <v>27</v>
      </c>
      <c r="H415" s="4">
        <v>141.0</v>
      </c>
      <c r="I415" s="4">
        <v>633.09</v>
      </c>
      <c r="J415" s="4">
        <v>4.49</v>
      </c>
      <c r="K415" s="4" t="s">
        <v>16</v>
      </c>
      <c r="L415" s="4" t="s">
        <v>16</v>
      </c>
      <c r="M415" s="4" t="s">
        <v>50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" t="s">
        <v>90</v>
      </c>
      <c r="B416" s="4">
        <v>2024.0</v>
      </c>
      <c r="C416" s="4">
        <v>7.0</v>
      </c>
      <c r="D416" s="4">
        <v>30.0</v>
      </c>
      <c r="E416" s="4" t="s">
        <v>28</v>
      </c>
      <c r="F416" s="4" t="s">
        <v>29</v>
      </c>
      <c r="G416" s="4" t="s">
        <v>19</v>
      </c>
      <c r="H416" s="4">
        <v>211.0</v>
      </c>
      <c r="I416" s="4">
        <v>1896.89</v>
      </c>
      <c r="J416" s="4">
        <v>8.99</v>
      </c>
      <c r="K416" s="4" t="s">
        <v>16</v>
      </c>
      <c r="L416" s="4" t="s">
        <v>16</v>
      </c>
      <c r="M416" s="4" t="s">
        <v>50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">
        <v>45390.0</v>
      </c>
      <c r="B417" s="4">
        <v>2024.0</v>
      </c>
      <c r="C417" s="4">
        <v>8.0</v>
      </c>
      <c r="D417" s="4">
        <v>31.0</v>
      </c>
      <c r="E417" s="4" t="s">
        <v>13</v>
      </c>
      <c r="F417" s="4" t="s">
        <v>14</v>
      </c>
      <c r="G417" s="4" t="s">
        <v>15</v>
      </c>
      <c r="H417" s="4">
        <v>516.0</v>
      </c>
      <c r="I417" s="4">
        <v>6702.84</v>
      </c>
      <c r="J417" s="4">
        <v>12.99</v>
      </c>
      <c r="K417" s="4" t="s">
        <v>16</v>
      </c>
      <c r="L417" s="4" t="s">
        <v>16</v>
      </c>
      <c r="M417" s="4" t="s">
        <v>54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">
        <v>45390.0</v>
      </c>
      <c r="B418" s="4">
        <v>2024.0</v>
      </c>
      <c r="C418" s="4">
        <v>8.0</v>
      </c>
      <c r="D418" s="4">
        <v>31.0</v>
      </c>
      <c r="E418" s="4" t="s">
        <v>17</v>
      </c>
      <c r="F418" s="4" t="s">
        <v>18</v>
      </c>
      <c r="G418" s="4" t="s">
        <v>19</v>
      </c>
      <c r="H418" s="4">
        <v>345.0</v>
      </c>
      <c r="I418" s="4">
        <v>5344.05</v>
      </c>
      <c r="J418" s="4">
        <v>15.49</v>
      </c>
      <c r="K418" s="4" t="s">
        <v>16</v>
      </c>
      <c r="L418" s="4" t="s">
        <v>16</v>
      </c>
      <c r="M418" s="4" t="s">
        <v>54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">
        <v>45390.0</v>
      </c>
      <c r="B419" s="4">
        <v>2024.0</v>
      </c>
      <c r="C419" s="4">
        <v>8.0</v>
      </c>
      <c r="D419" s="4">
        <v>31.0</v>
      </c>
      <c r="E419" s="4" t="s">
        <v>21</v>
      </c>
      <c r="F419" s="4" t="s">
        <v>22</v>
      </c>
      <c r="G419" s="4" t="s">
        <v>23</v>
      </c>
      <c r="H419" s="4">
        <v>356.0</v>
      </c>
      <c r="I419" s="4">
        <v>1420.44</v>
      </c>
      <c r="J419" s="4">
        <v>3.99</v>
      </c>
      <c r="K419" s="4" t="s">
        <v>16</v>
      </c>
      <c r="L419" s="4" t="s">
        <v>16</v>
      </c>
      <c r="M419" s="4" t="s">
        <v>54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">
        <v>45390.0</v>
      </c>
      <c r="B420" s="4">
        <v>2024.0</v>
      </c>
      <c r="C420" s="4">
        <v>8.0</v>
      </c>
      <c r="D420" s="4">
        <v>31.0</v>
      </c>
      <c r="E420" s="4" t="s">
        <v>25</v>
      </c>
      <c r="F420" s="4" t="s">
        <v>26</v>
      </c>
      <c r="G420" s="4" t="s">
        <v>27</v>
      </c>
      <c r="H420" s="4">
        <v>241.0</v>
      </c>
      <c r="I420" s="4">
        <v>1082.09</v>
      </c>
      <c r="J420" s="4">
        <v>4.49</v>
      </c>
      <c r="K420" s="4" t="s">
        <v>16</v>
      </c>
      <c r="L420" s="4" t="s">
        <v>16</v>
      </c>
      <c r="M420" s="4" t="s">
        <v>54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">
        <v>45390.0</v>
      </c>
      <c r="B421" s="4">
        <v>2024.0</v>
      </c>
      <c r="C421" s="4">
        <v>8.0</v>
      </c>
      <c r="D421" s="4">
        <v>31.0</v>
      </c>
      <c r="E421" s="4" t="s">
        <v>28</v>
      </c>
      <c r="F421" s="4" t="s">
        <v>29</v>
      </c>
      <c r="G421" s="4" t="s">
        <v>19</v>
      </c>
      <c r="H421" s="4">
        <v>192.0</v>
      </c>
      <c r="I421" s="4">
        <v>1726.08</v>
      </c>
      <c r="J421" s="4">
        <v>8.99</v>
      </c>
      <c r="K421" s="4" t="s">
        <v>16</v>
      </c>
      <c r="L421" s="4" t="s">
        <v>16</v>
      </c>
      <c r="M421" s="4" t="s">
        <v>54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">
        <v>45604.0</v>
      </c>
      <c r="B422" s="4">
        <v>2024.0</v>
      </c>
      <c r="C422" s="4">
        <v>8.0</v>
      </c>
      <c r="D422" s="4">
        <v>32.0</v>
      </c>
      <c r="E422" s="4" t="s">
        <v>13</v>
      </c>
      <c r="F422" s="4" t="s">
        <v>14</v>
      </c>
      <c r="G422" s="4" t="s">
        <v>15</v>
      </c>
      <c r="H422" s="4">
        <v>393.0</v>
      </c>
      <c r="I422" s="4">
        <v>5105.07</v>
      </c>
      <c r="J422" s="4">
        <v>12.99</v>
      </c>
      <c r="K422" s="4" t="s">
        <v>16</v>
      </c>
      <c r="L422" s="4" t="s">
        <v>16</v>
      </c>
      <c r="M422" s="4" t="s">
        <v>54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">
        <v>45604.0</v>
      </c>
      <c r="B423" s="4">
        <v>2024.0</v>
      </c>
      <c r="C423" s="4">
        <v>8.0</v>
      </c>
      <c r="D423" s="4">
        <v>32.0</v>
      </c>
      <c r="E423" s="4" t="s">
        <v>17</v>
      </c>
      <c r="F423" s="4" t="s">
        <v>18</v>
      </c>
      <c r="G423" s="4" t="s">
        <v>19</v>
      </c>
      <c r="H423" s="4">
        <v>407.0</v>
      </c>
      <c r="I423" s="4">
        <v>6304.43</v>
      </c>
      <c r="J423" s="4">
        <v>15.49</v>
      </c>
      <c r="K423" s="4" t="s">
        <v>16</v>
      </c>
      <c r="L423" s="4" t="s">
        <v>16</v>
      </c>
      <c r="M423" s="4" t="s">
        <v>54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">
        <v>45604.0</v>
      </c>
      <c r="B424" s="4">
        <v>2024.0</v>
      </c>
      <c r="C424" s="4">
        <v>8.0</v>
      </c>
      <c r="D424" s="4">
        <v>32.0</v>
      </c>
      <c r="E424" s="4" t="s">
        <v>21</v>
      </c>
      <c r="F424" s="4" t="s">
        <v>22</v>
      </c>
      <c r="G424" s="4" t="s">
        <v>23</v>
      </c>
      <c r="H424" s="4">
        <v>307.0</v>
      </c>
      <c r="I424" s="4">
        <v>1224.93</v>
      </c>
      <c r="J424" s="4">
        <v>3.99</v>
      </c>
      <c r="K424" s="4" t="s">
        <v>16</v>
      </c>
      <c r="L424" s="4" t="s">
        <v>16</v>
      </c>
      <c r="M424" s="4" t="s">
        <v>54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">
        <v>45604.0</v>
      </c>
      <c r="B425" s="4">
        <v>2024.0</v>
      </c>
      <c r="C425" s="4">
        <v>8.0</v>
      </c>
      <c r="D425" s="4">
        <v>32.0</v>
      </c>
      <c r="E425" s="4" t="s">
        <v>25</v>
      </c>
      <c r="F425" s="4" t="s">
        <v>26</v>
      </c>
      <c r="G425" s="4" t="s">
        <v>27</v>
      </c>
      <c r="H425" s="4">
        <v>166.0</v>
      </c>
      <c r="I425" s="4">
        <v>745.34</v>
      </c>
      <c r="J425" s="4">
        <v>4.49</v>
      </c>
      <c r="K425" s="4" t="s">
        <v>16</v>
      </c>
      <c r="L425" s="4" t="s">
        <v>16</v>
      </c>
      <c r="M425" s="4" t="s">
        <v>54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">
        <v>45604.0</v>
      </c>
      <c r="B426" s="4">
        <v>2024.0</v>
      </c>
      <c r="C426" s="4">
        <v>8.0</v>
      </c>
      <c r="D426" s="4">
        <v>32.0</v>
      </c>
      <c r="E426" s="4" t="s">
        <v>28</v>
      </c>
      <c r="F426" s="4" t="s">
        <v>29</v>
      </c>
      <c r="G426" s="4" t="s">
        <v>19</v>
      </c>
      <c r="H426" s="4">
        <v>318.0</v>
      </c>
      <c r="I426" s="4">
        <v>2858.82</v>
      </c>
      <c r="J426" s="4">
        <v>8.99</v>
      </c>
      <c r="K426" s="4" t="s">
        <v>16</v>
      </c>
      <c r="L426" s="4" t="s">
        <v>16</v>
      </c>
      <c r="M426" s="4" t="s">
        <v>54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" t="s">
        <v>91</v>
      </c>
      <c r="B427" s="4">
        <v>2024.0</v>
      </c>
      <c r="C427" s="4">
        <v>8.0</v>
      </c>
      <c r="D427" s="4">
        <v>33.0</v>
      </c>
      <c r="E427" s="4" t="s">
        <v>13</v>
      </c>
      <c r="F427" s="4" t="s">
        <v>14</v>
      </c>
      <c r="G427" s="4" t="s">
        <v>15</v>
      </c>
      <c r="H427" s="4">
        <v>770.0</v>
      </c>
      <c r="I427" s="4">
        <v>10002.3</v>
      </c>
      <c r="J427" s="4">
        <v>12.99</v>
      </c>
      <c r="K427" s="4" t="s">
        <v>24</v>
      </c>
      <c r="L427" s="4" t="s">
        <v>16</v>
      </c>
      <c r="M427" s="4" t="s">
        <v>54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" t="s">
        <v>91</v>
      </c>
      <c r="B428" s="4">
        <v>2024.0</v>
      </c>
      <c r="C428" s="4">
        <v>8.0</v>
      </c>
      <c r="D428" s="4">
        <v>33.0</v>
      </c>
      <c r="E428" s="4" t="s">
        <v>17</v>
      </c>
      <c r="F428" s="4" t="s">
        <v>18</v>
      </c>
      <c r="G428" s="4" t="s">
        <v>19</v>
      </c>
      <c r="H428" s="4">
        <v>330.0</v>
      </c>
      <c r="I428" s="4">
        <v>5111.7</v>
      </c>
      <c r="J428" s="4">
        <v>15.49</v>
      </c>
      <c r="K428" s="4" t="s">
        <v>16</v>
      </c>
      <c r="L428" s="4" t="s">
        <v>16</v>
      </c>
      <c r="M428" s="4" t="s">
        <v>54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" t="s">
        <v>91</v>
      </c>
      <c r="B429" s="4">
        <v>2024.0</v>
      </c>
      <c r="C429" s="4">
        <v>8.0</v>
      </c>
      <c r="D429" s="4">
        <v>33.0</v>
      </c>
      <c r="E429" s="4" t="s">
        <v>21</v>
      </c>
      <c r="F429" s="4" t="s">
        <v>22</v>
      </c>
      <c r="G429" s="4" t="s">
        <v>23</v>
      </c>
      <c r="H429" s="4">
        <v>398.0</v>
      </c>
      <c r="I429" s="4">
        <v>1588.02</v>
      </c>
      <c r="J429" s="4">
        <v>3.99</v>
      </c>
      <c r="K429" s="4" t="s">
        <v>16</v>
      </c>
      <c r="L429" s="4" t="s">
        <v>16</v>
      </c>
      <c r="M429" s="4" t="s">
        <v>54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" t="s">
        <v>91</v>
      </c>
      <c r="B430" s="4">
        <v>2024.0</v>
      </c>
      <c r="C430" s="4">
        <v>8.0</v>
      </c>
      <c r="D430" s="4">
        <v>33.0</v>
      </c>
      <c r="E430" s="4" t="s">
        <v>25</v>
      </c>
      <c r="F430" s="4" t="s">
        <v>26</v>
      </c>
      <c r="G430" s="4" t="s">
        <v>27</v>
      </c>
      <c r="H430" s="4">
        <v>198.0</v>
      </c>
      <c r="I430" s="4">
        <v>889.02</v>
      </c>
      <c r="J430" s="4">
        <v>4.49</v>
      </c>
      <c r="K430" s="4" t="s">
        <v>16</v>
      </c>
      <c r="L430" s="4" t="s">
        <v>16</v>
      </c>
      <c r="M430" s="4" t="s">
        <v>54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" t="s">
        <v>91</v>
      </c>
      <c r="B431" s="4">
        <v>2024.0</v>
      </c>
      <c r="C431" s="4">
        <v>8.0</v>
      </c>
      <c r="D431" s="4">
        <v>33.0</v>
      </c>
      <c r="E431" s="4" t="s">
        <v>28</v>
      </c>
      <c r="F431" s="4" t="s">
        <v>29</v>
      </c>
      <c r="G431" s="4" t="s">
        <v>19</v>
      </c>
      <c r="H431" s="4">
        <v>252.0</v>
      </c>
      <c r="I431" s="4">
        <v>2265.48</v>
      </c>
      <c r="J431" s="4">
        <v>8.99</v>
      </c>
      <c r="K431" s="4" t="s">
        <v>16</v>
      </c>
      <c r="L431" s="4" t="s">
        <v>16</v>
      </c>
      <c r="M431" s="4" t="s">
        <v>54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" t="s">
        <v>92</v>
      </c>
      <c r="B432" s="4">
        <v>2024.0</v>
      </c>
      <c r="C432" s="4">
        <v>8.0</v>
      </c>
      <c r="D432" s="4">
        <v>34.0</v>
      </c>
      <c r="E432" s="4" t="s">
        <v>13</v>
      </c>
      <c r="F432" s="4" t="s">
        <v>14</v>
      </c>
      <c r="G432" s="4" t="s">
        <v>15</v>
      </c>
      <c r="H432" s="4">
        <v>542.0</v>
      </c>
      <c r="I432" s="4">
        <v>7040.58</v>
      </c>
      <c r="J432" s="4">
        <v>12.99</v>
      </c>
      <c r="K432" s="4" t="s">
        <v>16</v>
      </c>
      <c r="L432" s="4" t="s">
        <v>16</v>
      </c>
      <c r="M432" s="4" t="s">
        <v>54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" t="s">
        <v>92</v>
      </c>
      <c r="B433" s="4">
        <v>2024.0</v>
      </c>
      <c r="C433" s="4">
        <v>8.0</v>
      </c>
      <c r="D433" s="4">
        <v>34.0</v>
      </c>
      <c r="E433" s="4" t="s">
        <v>17</v>
      </c>
      <c r="F433" s="4" t="s">
        <v>18</v>
      </c>
      <c r="G433" s="4" t="s">
        <v>19</v>
      </c>
      <c r="H433" s="4">
        <v>480.0</v>
      </c>
      <c r="I433" s="4">
        <v>7435.2</v>
      </c>
      <c r="J433" s="4">
        <v>15.49</v>
      </c>
      <c r="K433" s="4" t="s">
        <v>24</v>
      </c>
      <c r="L433" s="4" t="s">
        <v>16</v>
      </c>
      <c r="M433" s="4" t="s">
        <v>54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" t="s">
        <v>92</v>
      </c>
      <c r="B434" s="4">
        <v>2024.0</v>
      </c>
      <c r="C434" s="4">
        <v>8.0</v>
      </c>
      <c r="D434" s="4">
        <v>34.0</v>
      </c>
      <c r="E434" s="4" t="s">
        <v>21</v>
      </c>
      <c r="F434" s="4" t="s">
        <v>22</v>
      </c>
      <c r="G434" s="4" t="s">
        <v>23</v>
      </c>
      <c r="H434" s="4">
        <v>345.0</v>
      </c>
      <c r="I434" s="4">
        <v>1376.55</v>
      </c>
      <c r="J434" s="4">
        <v>3.99</v>
      </c>
      <c r="K434" s="4" t="s">
        <v>16</v>
      </c>
      <c r="L434" s="4" t="s">
        <v>16</v>
      </c>
      <c r="M434" s="4" t="s">
        <v>54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" t="s">
        <v>92</v>
      </c>
      <c r="B435" s="4">
        <v>2024.0</v>
      </c>
      <c r="C435" s="4">
        <v>8.0</v>
      </c>
      <c r="D435" s="4">
        <v>34.0</v>
      </c>
      <c r="E435" s="4" t="s">
        <v>25</v>
      </c>
      <c r="F435" s="4" t="s">
        <v>26</v>
      </c>
      <c r="G435" s="4" t="s">
        <v>27</v>
      </c>
      <c r="H435" s="4">
        <v>217.0</v>
      </c>
      <c r="I435" s="4">
        <v>974.33</v>
      </c>
      <c r="J435" s="4">
        <v>4.49</v>
      </c>
      <c r="K435" s="4" t="s">
        <v>16</v>
      </c>
      <c r="L435" s="4" t="s">
        <v>16</v>
      </c>
      <c r="M435" s="4" t="s">
        <v>54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" t="s">
        <v>92</v>
      </c>
      <c r="B436" s="4">
        <v>2024.0</v>
      </c>
      <c r="C436" s="4">
        <v>8.0</v>
      </c>
      <c r="D436" s="4">
        <v>34.0</v>
      </c>
      <c r="E436" s="4" t="s">
        <v>28</v>
      </c>
      <c r="F436" s="4" t="s">
        <v>29</v>
      </c>
      <c r="G436" s="4" t="s">
        <v>19</v>
      </c>
      <c r="H436" s="4">
        <v>303.0</v>
      </c>
      <c r="I436" s="4">
        <v>2723.97</v>
      </c>
      <c r="J436" s="4">
        <v>8.99</v>
      </c>
      <c r="K436" s="4" t="s">
        <v>16</v>
      </c>
      <c r="L436" s="4" t="s">
        <v>16</v>
      </c>
      <c r="M436" s="4" t="s">
        <v>54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">
        <v>45300.0</v>
      </c>
      <c r="B437" s="4">
        <v>2024.0</v>
      </c>
      <c r="C437" s="4">
        <v>9.0</v>
      </c>
      <c r="D437" s="4">
        <v>35.0</v>
      </c>
      <c r="E437" s="4" t="s">
        <v>13</v>
      </c>
      <c r="F437" s="4" t="s">
        <v>14</v>
      </c>
      <c r="G437" s="4" t="s">
        <v>15</v>
      </c>
      <c r="H437" s="4">
        <v>412.0</v>
      </c>
      <c r="I437" s="4">
        <v>5351.88</v>
      </c>
      <c r="J437" s="4">
        <v>12.99</v>
      </c>
      <c r="K437" s="4" t="s">
        <v>16</v>
      </c>
      <c r="L437" s="4" t="s">
        <v>16</v>
      </c>
      <c r="M437" s="4" t="s">
        <v>58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">
        <v>45300.0</v>
      </c>
      <c r="B438" s="4">
        <v>2024.0</v>
      </c>
      <c r="C438" s="4">
        <v>9.0</v>
      </c>
      <c r="D438" s="4">
        <v>35.0</v>
      </c>
      <c r="E438" s="4" t="s">
        <v>17</v>
      </c>
      <c r="F438" s="4" t="s">
        <v>18</v>
      </c>
      <c r="G438" s="4" t="s">
        <v>19</v>
      </c>
      <c r="H438" s="4">
        <v>315.0</v>
      </c>
      <c r="I438" s="4">
        <v>4879.35</v>
      </c>
      <c r="J438" s="4">
        <v>15.49</v>
      </c>
      <c r="K438" s="4" t="s">
        <v>16</v>
      </c>
      <c r="L438" s="4" t="s">
        <v>16</v>
      </c>
      <c r="M438" s="4" t="s">
        <v>58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">
        <v>45300.0</v>
      </c>
      <c r="B439" s="4">
        <v>2024.0</v>
      </c>
      <c r="C439" s="4">
        <v>9.0</v>
      </c>
      <c r="D439" s="4">
        <v>35.0</v>
      </c>
      <c r="E439" s="4" t="s">
        <v>21</v>
      </c>
      <c r="F439" s="4" t="s">
        <v>22</v>
      </c>
      <c r="G439" s="4" t="s">
        <v>23</v>
      </c>
      <c r="H439" s="4">
        <v>391.0</v>
      </c>
      <c r="I439" s="4">
        <v>1560.09</v>
      </c>
      <c r="J439" s="4">
        <v>3.99</v>
      </c>
      <c r="K439" s="4" t="s">
        <v>16</v>
      </c>
      <c r="L439" s="4" t="s">
        <v>16</v>
      </c>
      <c r="M439" s="4" t="s">
        <v>58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">
        <v>45300.0</v>
      </c>
      <c r="B440" s="4">
        <v>2024.0</v>
      </c>
      <c r="C440" s="4">
        <v>9.0</v>
      </c>
      <c r="D440" s="4">
        <v>35.0</v>
      </c>
      <c r="E440" s="4" t="s">
        <v>25</v>
      </c>
      <c r="F440" s="4" t="s">
        <v>26</v>
      </c>
      <c r="G440" s="4" t="s">
        <v>27</v>
      </c>
      <c r="H440" s="4">
        <v>211.0</v>
      </c>
      <c r="I440" s="4">
        <v>947.39</v>
      </c>
      <c r="J440" s="4">
        <v>4.49</v>
      </c>
      <c r="K440" s="4" t="s">
        <v>16</v>
      </c>
      <c r="L440" s="4" t="s">
        <v>16</v>
      </c>
      <c r="M440" s="4" t="s">
        <v>58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">
        <v>45300.0</v>
      </c>
      <c r="B441" s="4">
        <v>2024.0</v>
      </c>
      <c r="C441" s="4">
        <v>9.0</v>
      </c>
      <c r="D441" s="4">
        <v>35.0</v>
      </c>
      <c r="E441" s="4" t="s">
        <v>28</v>
      </c>
      <c r="F441" s="4" t="s">
        <v>29</v>
      </c>
      <c r="G441" s="4" t="s">
        <v>19</v>
      </c>
      <c r="H441" s="4">
        <v>275.0</v>
      </c>
      <c r="I441" s="4">
        <v>2472.25</v>
      </c>
      <c r="J441" s="4">
        <v>8.99</v>
      </c>
      <c r="K441" s="4" t="s">
        <v>16</v>
      </c>
      <c r="L441" s="4" t="s">
        <v>16</v>
      </c>
      <c r="M441" s="4" t="s">
        <v>58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">
        <v>45513.0</v>
      </c>
      <c r="B442" s="4">
        <v>2024.0</v>
      </c>
      <c r="C442" s="4">
        <v>9.0</v>
      </c>
      <c r="D442" s="4">
        <v>36.0</v>
      </c>
      <c r="E442" s="4" t="s">
        <v>13</v>
      </c>
      <c r="F442" s="4" t="s">
        <v>14</v>
      </c>
      <c r="G442" s="4" t="s">
        <v>15</v>
      </c>
      <c r="H442" s="4">
        <v>570.0</v>
      </c>
      <c r="I442" s="4">
        <v>7404.3</v>
      </c>
      <c r="J442" s="4">
        <v>12.99</v>
      </c>
      <c r="K442" s="4" t="s">
        <v>16</v>
      </c>
      <c r="L442" s="4" t="s">
        <v>16</v>
      </c>
      <c r="M442" s="4" t="s">
        <v>58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">
        <v>45513.0</v>
      </c>
      <c r="B443" s="4">
        <v>2024.0</v>
      </c>
      <c r="C443" s="4">
        <v>9.0</v>
      </c>
      <c r="D443" s="4">
        <v>36.0</v>
      </c>
      <c r="E443" s="4" t="s">
        <v>17</v>
      </c>
      <c r="F443" s="4" t="s">
        <v>18</v>
      </c>
      <c r="G443" s="4" t="s">
        <v>19</v>
      </c>
      <c r="H443" s="4">
        <v>410.0</v>
      </c>
      <c r="I443" s="4">
        <v>6350.9</v>
      </c>
      <c r="J443" s="4">
        <v>15.49</v>
      </c>
      <c r="K443" s="4" t="s">
        <v>16</v>
      </c>
      <c r="L443" s="4" t="s">
        <v>16</v>
      </c>
      <c r="M443" s="4" t="s">
        <v>58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">
        <v>45513.0</v>
      </c>
      <c r="B444" s="4">
        <v>2024.0</v>
      </c>
      <c r="C444" s="4">
        <v>9.0</v>
      </c>
      <c r="D444" s="4">
        <v>36.0</v>
      </c>
      <c r="E444" s="4" t="s">
        <v>21</v>
      </c>
      <c r="F444" s="4" t="s">
        <v>22</v>
      </c>
      <c r="G444" s="4" t="s">
        <v>23</v>
      </c>
      <c r="H444" s="4">
        <v>95.0</v>
      </c>
      <c r="I444" s="4">
        <v>379.05</v>
      </c>
      <c r="J444" s="4">
        <v>3.99</v>
      </c>
      <c r="K444" s="4" t="s">
        <v>16</v>
      </c>
      <c r="L444" s="4" t="s">
        <v>24</v>
      </c>
      <c r="M444" s="4" t="s">
        <v>58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">
        <v>45513.0</v>
      </c>
      <c r="B445" s="4">
        <v>2024.0</v>
      </c>
      <c r="C445" s="4">
        <v>9.0</v>
      </c>
      <c r="D445" s="4">
        <v>36.0</v>
      </c>
      <c r="E445" s="4" t="s">
        <v>25</v>
      </c>
      <c r="F445" s="4" t="s">
        <v>26</v>
      </c>
      <c r="G445" s="4" t="s">
        <v>27</v>
      </c>
      <c r="H445" s="4">
        <v>183.0</v>
      </c>
      <c r="I445" s="4">
        <v>821.67</v>
      </c>
      <c r="J445" s="4">
        <v>4.49</v>
      </c>
      <c r="K445" s="4" t="s">
        <v>16</v>
      </c>
      <c r="L445" s="4" t="s">
        <v>16</v>
      </c>
      <c r="M445" s="4" t="s">
        <v>58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">
        <v>45513.0</v>
      </c>
      <c r="B446" s="4">
        <v>2024.0</v>
      </c>
      <c r="C446" s="4">
        <v>9.0</v>
      </c>
      <c r="D446" s="4">
        <v>36.0</v>
      </c>
      <c r="E446" s="4" t="s">
        <v>28</v>
      </c>
      <c r="F446" s="4" t="s">
        <v>29</v>
      </c>
      <c r="G446" s="4" t="s">
        <v>19</v>
      </c>
      <c r="H446" s="4">
        <v>273.0</v>
      </c>
      <c r="I446" s="4">
        <v>2454.27</v>
      </c>
      <c r="J446" s="4">
        <v>8.99</v>
      </c>
      <c r="K446" s="4" t="s">
        <v>16</v>
      </c>
      <c r="L446" s="4" t="s">
        <v>16</v>
      </c>
      <c r="M446" s="4" t="s">
        <v>58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" t="s">
        <v>93</v>
      </c>
      <c r="B447" s="4">
        <v>2024.0</v>
      </c>
      <c r="C447" s="4">
        <v>9.0</v>
      </c>
      <c r="D447" s="4">
        <v>37.0</v>
      </c>
      <c r="E447" s="4" t="s">
        <v>13</v>
      </c>
      <c r="F447" s="4" t="s">
        <v>14</v>
      </c>
      <c r="G447" s="4" t="s">
        <v>15</v>
      </c>
      <c r="H447" s="4">
        <v>521.0</v>
      </c>
      <c r="I447" s="4">
        <v>6767.79</v>
      </c>
      <c r="J447" s="4">
        <v>12.99</v>
      </c>
      <c r="K447" s="4" t="s">
        <v>16</v>
      </c>
      <c r="L447" s="4" t="s">
        <v>16</v>
      </c>
      <c r="M447" s="4" t="s">
        <v>58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" t="s">
        <v>93</v>
      </c>
      <c r="B448" s="4">
        <v>2024.0</v>
      </c>
      <c r="C448" s="4">
        <v>9.0</v>
      </c>
      <c r="D448" s="4">
        <v>37.0</v>
      </c>
      <c r="E448" s="4" t="s">
        <v>17</v>
      </c>
      <c r="F448" s="4" t="s">
        <v>18</v>
      </c>
      <c r="G448" s="4" t="s">
        <v>19</v>
      </c>
      <c r="H448" s="4">
        <v>410.0</v>
      </c>
      <c r="I448" s="4">
        <v>6350.9</v>
      </c>
      <c r="J448" s="4">
        <v>15.49</v>
      </c>
      <c r="K448" s="4" t="s">
        <v>16</v>
      </c>
      <c r="L448" s="4" t="s">
        <v>16</v>
      </c>
      <c r="M448" s="4" t="s">
        <v>58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" t="s">
        <v>93</v>
      </c>
      <c r="B449" s="4">
        <v>2024.0</v>
      </c>
      <c r="C449" s="4">
        <v>9.0</v>
      </c>
      <c r="D449" s="4">
        <v>37.0</v>
      </c>
      <c r="E449" s="4" t="s">
        <v>21</v>
      </c>
      <c r="F449" s="4" t="s">
        <v>22</v>
      </c>
      <c r="G449" s="4" t="s">
        <v>23</v>
      </c>
      <c r="H449" s="4">
        <v>248.0</v>
      </c>
      <c r="I449" s="4">
        <v>989.52</v>
      </c>
      <c r="J449" s="4">
        <v>3.99</v>
      </c>
      <c r="K449" s="4" t="s">
        <v>16</v>
      </c>
      <c r="L449" s="4" t="s">
        <v>16</v>
      </c>
      <c r="M449" s="4" t="s">
        <v>58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" t="s">
        <v>93</v>
      </c>
      <c r="B450" s="4">
        <v>2024.0</v>
      </c>
      <c r="C450" s="4">
        <v>9.0</v>
      </c>
      <c r="D450" s="4">
        <v>37.0</v>
      </c>
      <c r="E450" s="4" t="s">
        <v>25</v>
      </c>
      <c r="F450" s="4" t="s">
        <v>26</v>
      </c>
      <c r="G450" s="4" t="s">
        <v>27</v>
      </c>
      <c r="H450" s="4">
        <v>60.0</v>
      </c>
      <c r="I450" s="4">
        <v>269.4</v>
      </c>
      <c r="J450" s="4">
        <v>4.49</v>
      </c>
      <c r="K450" s="4" t="s">
        <v>16</v>
      </c>
      <c r="L450" s="4" t="s">
        <v>24</v>
      </c>
      <c r="M450" s="4" t="s">
        <v>58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" t="s">
        <v>93</v>
      </c>
      <c r="B451" s="4">
        <v>2024.0</v>
      </c>
      <c r="C451" s="4">
        <v>9.0</v>
      </c>
      <c r="D451" s="4">
        <v>37.0</v>
      </c>
      <c r="E451" s="4" t="s">
        <v>28</v>
      </c>
      <c r="F451" s="4" t="s">
        <v>29</v>
      </c>
      <c r="G451" s="4" t="s">
        <v>19</v>
      </c>
      <c r="H451" s="4">
        <v>266.0</v>
      </c>
      <c r="I451" s="4">
        <v>2391.34</v>
      </c>
      <c r="J451" s="4">
        <v>8.99</v>
      </c>
      <c r="K451" s="4" t="s">
        <v>16</v>
      </c>
      <c r="L451" s="4" t="s">
        <v>16</v>
      </c>
      <c r="M451" s="4" t="s">
        <v>58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" t="s">
        <v>94</v>
      </c>
      <c r="B452" s="4">
        <v>2024.0</v>
      </c>
      <c r="C452" s="4">
        <v>9.0</v>
      </c>
      <c r="D452" s="4">
        <v>38.0</v>
      </c>
      <c r="E452" s="4" t="s">
        <v>13</v>
      </c>
      <c r="F452" s="4" t="s">
        <v>14</v>
      </c>
      <c r="G452" s="4" t="s">
        <v>15</v>
      </c>
      <c r="H452" s="4">
        <v>607.0</v>
      </c>
      <c r="I452" s="4">
        <v>7884.93</v>
      </c>
      <c r="J452" s="4">
        <v>12.99</v>
      </c>
      <c r="K452" s="4" t="s">
        <v>16</v>
      </c>
      <c r="L452" s="4" t="s">
        <v>16</v>
      </c>
      <c r="M452" s="4" t="s">
        <v>58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" t="s">
        <v>94</v>
      </c>
      <c r="B453" s="4">
        <v>2024.0</v>
      </c>
      <c r="C453" s="4">
        <v>9.0</v>
      </c>
      <c r="D453" s="4">
        <v>38.0</v>
      </c>
      <c r="E453" s="4" t="s">
        <v>17</v>
      </c>
      <c r="F453" s="4" t="s">
        <v>18</v>
      </c>
      <c r="G453" s="4" t="s">
        <v>19</v>
      </c>
      <c r="H453" s="4">
        <v>304.0</v>
      </c>
      <c r="I453" s="4">
        <v>4708.96</v>
      </c>
      <c r="J453" s="4">
        <v>15.49</v>
      </c>
      <c r="K453" s="4" t="s">
        <v>16</v>
      </c>
      <c r="L453" s="4" t="s">
        <v>16</v>
      </c>
      <c r="M453" s="4" t="s">
        <v>58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" t="s">
        <v>94</v>
      </c>
      <c r="B454" s="4">
        <v>2024.0</v>
      </c>
      <c r="C454" s="4">
        <v>9.0</v>
      </c>
      <c r="D454" s="4">
        <v>38.0</v>
      </c>
      <c r="E454" s="4" t="s">
        <v>21</v>
      </c>
      <c r="F454" s="4" t="s">
        <v>22</v>
      </c>
      <c r="G454" s="4" t="s">
        <v>23</v>
      </c>
      <c r="H454" s="4">
        <v>380.0</v>
      </c>
      <c r="I454" s="4">
        <v>1516.2</v>
      </c>
      <c r="J454" s="4">
        <v>3.99</v>
      </c>
      <c r="K454" s="4" t="s">
        <v>16</v>
      </c>
      <c r="L454" s="4" t="s">
        <v>16</v>
      </c>
      <c r="M454" s="4" t="s">
        <v>58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" t="s">
        <v>94</v>
      </c>
      <c r="B455" s="4">
        <v>2024.0</v>
      </c>
      <c r="C455" s="4">
        <v>9.0</v>
      </c>
      <c r="D455" s="4">
        <v>38.0</v>
      </c>
      <c r="E455" s="4" t="s">
        <v>25</v>
      </c>
      <c r="F455" s="4" t="s">
        <v>26</v>
      </c>
      <c r="G455" s="4" t="s">
        <v>27</v>
      </c>
      <c r="H455" s="4">
        <v>238.0</v>
      </c>
      <c r="I455" s="4">
        <v>1068.62</v>
      </c>
      <c r="J455" s="4">
        <v>4.49</v>
      </c>
      <c r="K455" s="4" t="s">
        <v>16</v>
      </c>
      <c r="L455" s="4" t="s">
        <v>16</v>
      </c>
      <c r="M455" s="4" t="s">
        <v>58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" t="s">
        <v>94</v>
      </c>
      <c r="B456" s="4">
        <v>2024.0</v>
      </c>
      <c r="C456" s="4">
        <v>9.0</v>
      </c>
      <c r="D456" s="4">
        <v>38.0</v>
      </c>
      <c r="E456" s="4" t="s">
        <v>28</v>
      </c>
      <c r="F456" s="4" t="s">
        <v>29</v>
      </c>
      <c r="G456" s="4" t="s">
        <v>19</v>
      </c>
      <c r="H456" s="4">
        <v>228.0</v>
      </c>
      <c r="I456" s="4">
        <v>2049.72</v>
      </c>
      <c r="J456" s="4">
        <v>8.99</v>
      </c>
      <c r="K456" s="4" t="s">
        <v>24</v>
      </c>
      <c r="L456" s="4" t="s">
        <v>16</v>
      </c>
      <c r="M456" s="4" t="s">
        <v>58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" t="s">
        <v>95</v>
      </c>
      <c r="B457" s="4">
        <v>2024.0</v>
      </c>
      <c r="C457" s="4">
        <v>9.0</v>
      </c>
      <c r="D457" s="4">
        <v>39.0</v>
      </c>
      <c r="E457" s="4" t="s">
        <v>13</v>
      </c>
      <c r="F457" s="4" t="s">
        <v>14</v>
      </c>
      <c r="G457" s="4" t="s">
        <v>15</v>
      </c>
      <c r="H457" s="4">
        <v>659.0</v>
      </c>
      <c r="I457" s="4">
        <v>8560.41</v>
      </c>
      <c r="J457" s="4">
        <v>12.99</v>
      </c>
      <c r="K457" s="4" t="s">
        <v>16</v>
      </c>
      <c r="L457" s="4" t="s">
        <v>16</v>
      </c>
      <c r="M457" s="4" t="s">
        <v>58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" t="s">
        <v>95</v>
      </c>
      <c r="B458" s="4">
        <v>2024.0</v>
      </c>
      <c r="C458" s="4">
        <v>9.0</v>
      </c>
      <c r="D458" s="4">
        <v>39.0</v>
      </c>
      <c r="E458" s="4" t="s">
        <v>17</v>
      </c>
      <c r="F458" s="4" t="s">
        <v>18</v>
      </c>
      <c r="G458" s="4" t="s">
        <v>19</v>
      </c>
      <c r="H458" s="4">
        <v>402.0</v>
      </c>
      <c r="I458" s="4">
        <v>6226.98</v>
      </c>
      <c r="J458" s="4">
        <v>15.49</v>
      </c>
      <c r="K458" s="4" t="s">
        <v>16</v>
      </c>
      <c r="L458" s="4" t="s">
        <v>16</v>
      </c>
      <c r="M458" s="4" t="s">
        <v>58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" t="s">
        <v>95</v>
      </c>
      <c r="B459" s="4">
        <v>2024.0</v>
      </c>
      <c r="C459" s="4">
        <v>9.0</v>
      </c>
      <c r="D459" s="4">
        <v>39.0</v>
      </c>
      <c r="E459" s="4" t="s">
        <v>21</v>
      </c>
      <c r="F459" s="4" t="s">
        <v>22</v>
      </c>
      <c r="G459" s="4" t="s">
        <v>23</v>
      </c>
      <c r="H459" s="4">
        <v>417.0</v>
      </c>
      <c r="I459" s="4">
        <v>1663.83</v>
      </c>
      <c r="J459" s="4">
        <v>3.99</v>
      </c>
      <c r="K459" s="4" t="s">
        <v>16</v>
      </c>
      <c r="L459" s="4" t="s">
        <v>16</v>
      </c>
      <c r="M459" s="4" t="s">
        <v>58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" t="s">
        <v>95</v>
      </c>
      <c r="B460" s="4">
        <v>2024.0</v>
      </c>
      <c r="C460" s="4">
        <v>9.0</v>
      </c>
      <c r="D460" s="4">
        <v>39.0</v>
      </c>
      <c r="E460" s="4" t="s">
        <v>25</v>
      </c>
      <c r="F460" s="4" t="s">
        <v>26</v>
      </c>
      <c r="G460" s="4" t="s">
        <v>27</v>
      </c>
      <c r="H460" s="4">
        <v>230.0</v>
      </c>
      <c r="I460" s="4">
        <v>1032.7</v>
      </c>
      <c r="J460" s="4">
        <v>4.49</v>
      </c>
      <c r="K460" s="4" t="s">
        <v>16</v>
      </c>
      <c r="L460" s="4" t="s">
        <v>16</v>
      </c>
      <c r="M460" s="4" t="s">
        <v>58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" t="s">
        <v>95</v>
      </c>
      <c r="B461" s="4">
        <v>2024.0</v>
      </c>
      <c r="C461" s="4">
        <v>9.0</v>
      </c>
      <c r="D461" s="4">
        <v>39.0</v>
      </c>
      <c r="E461" s="4" t="s">
        <v>28</v>
      </c>
      <c r="F461" s="4" t="s">
        <v>29</v>
      </c>
      <c r="G461" s="4" t="s">
        <v>19</v>
      </c>
      <c r="H461" s="4">
        <v>382.0</v>
      </c>
      <c r="I461" s="4">
        <v>3434.18</v>
      </c>
      <c r="J461" s="4">
        <v>8.99</v>
      </c>
      <c r="K461" s="4" t="s">
        <v>24</v>
      </c>
      <c r="L461" s="4" t="s">
        <v>16</v>
      </c>
      <c r="M461" s="4" t="s">
        <v>58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">
        <v>45453.0</v>
      </c>
      <c r="B462" s="4">
        <v>2024.0</v>
      </c>
      <c r="C462" s="4">
        <v>10.0</v>
      </c>
      <c r="D462" s="4">
        <v>40.0</v>
      </c>
      <c r="E462" s="4" t="s">
        <v>13</v>
      </c>
      <c r="F462" s="4" t="s">
        <v>14</v>
      </c>
      <c r="G462" s="4" t="s">
        <v>15</v>
      </c>
      <c r="H462" s="4">
        <v>435.0</v>
      </c>
      <c r="I462" s="4">
        <v>5650.65</v>
      </c>
      <c r="J462" s="4">
        <v>12.99</v>
      </c>
      <c r="K462" s="4" t="s">
        <v>16</v>
      </c>
      <c r="L462" s="4" t="s">
        <v>16</v>
      </c>
      <c r="M462" s="4" t="s">
        <v>61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">
        <v>45453.0</v>
      </c>
      <c r="B463" s="4">
        <v>2024.0</v>
      </c>
      <c r="C463" s="4">
        <v>10.0</v>
      </c>
      <c r="D463" s="4">
        <v>40.0</v>
      </c>
      <c r="E463" s="4" t="s">
        <v>17</v>
      </c>
      <c r="F463" s="4" t="s">
        <v>18</v>
      </c>
      <c r="G463" s="4" t="s">
        <v>19</v>
      </c>
      <c r="H463" s="4">
        <v>334.0</v>
      </c>
      <c r="I463" s="4">
        <v>5173.66</v>
      </c>
      <c r="J463" s="4">
        <v>15.49</v>
      </c>
      <c r="K463" s="4" t="s">
        <v>16</v>
      </c>
      <c r="L463" s="4" t="s">
        <v>16</v>
      </c>
      <c r="M463" s="4" t="s">
        <v>61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">
        <v>45453.0</v>
      </c>
      <c r="B464" s="4">
        <v>2024.0</v>
      </c>
      <c r="C464" s="4">
        <v>10.0</v>
      </c>
      <c r="D464" s="4">
        <v>40.0</v>
      </c>
      <c r="E464" s="4" t="s">
        <v>21</v>
      </c>
      <c r="F464" s="4" t="s">
        <v>22</v>
      </c>
      <c r="G464" s="4" t="s">
        <v>23</v>
      </c>
      <c r="H464" s="4">
        <v>314.0</v>
      </c>
      <c r="I464" s="4">
        <v>1252.86</v>
      </c>
      <c r="J464" s="4">
        <v>3.99</v>
      </c>
      <c r="K464" s="4" t="s">
        <v>16</v>
      </c>
      <c r="L464" s="4" t="s">
        <v>16</v>
      </c>
      <c r="M464" s="4" t="s">
        <v>61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">
        <v>45453.0</v>
      </c>
      <c r="B465" s="4">
        <v>2024.0</v>
      </c>
      <c r="C465" s="4">
        <v>10.0</v>
      </c>
      <c r="D465" s="4">
        <v>40.0</v>
      </c>
      <c r="E465" s="4" t="s">
        <v>25</v>
      </c>
      <c r="F465" s="4" t="s">
        <v>26</v>
      </c>
      <c r="G465" s="4" t="s">
        <v>27</v>
      </c>
      <c r="H465" s="4">
        <v>250.0</v>
      </c>
      <c r="I465" s="4">
        <v>1122.5</v>
      </c>
      <c r="J465" s="4">
        <v>4.49</v>
      </c>
      <c r="K465" s="4" t="s">
        <v>16</v>
      </c>
      <c r="L465" s="4" t="s">
        <v>16</v>
      </c>
      <c r="M465" s="4" t="s">
        <v>61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">
        <v>45453.0</v>
      </c>
      <c r="B466" s="4">
        <v>2024.0</v>
      </c>
      <c r="C466" s="4">
        <v>10.0</v>
      </c>
      <c r="D466" s="4">
        <v>40.0</v>
      </c>
      <c r="E466" s="4" t="s">
        <v>28</v>
      </c>
      <c r="F466" s="4" t="s">
        <v>29</v>
      </c>
      <c r="G466" s="4" t="s">
        <v>19</v>
      </c>
      <c r="H466" s="4">
        <v>223.0</v>
      </c>
      <c r="I466" s="4">
        <v>2004.77</v>
      </c>
      <c r="J466" s="4">
        <v>8.99</v>
      </c>
      <c r="K466" s="4" t="s">
        <v>16</v>
      </c>
      <c r="L466" s="4" t="s">
        <v>16</v>
      </c>
      <c r="M466" s="4" t="s">
        <v>61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" t="s">
        <v>96</v>
      </c>
      <c r="B467" s="4">
        <v>2024.0</v>
      </c>
      <c r="C467" s="4">
        <v>10.0</v>
      </c>
      <c r="D467" s="4">
        <v>41.0</v>
      </c>
      <c r="E467" s="4" t="s">
        <v>13</v>
      </c>
      <c r="F467" s="4" t="s">
        <v>14</v>
      </c>
      <c r="G467" s="4" t="s">
        <v>15</v>
      </c>
      <c r="H467" s="4">
        <v>475.0</v>
      </c>
      <c r="I467" s="4">
        <v>6170.25</v>
      </c>
      <c r="J467" s="4">
        <v>12.99</v>
      </c>
      <c r="K467" s="4" t="s">
        <v>16</v>
      </c>
      <c r="L467" s="4" t="s">
        <v>16</v>
      </c>
      <c r="M467" s="4" t="s">
        <v>61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" t="s">
        <v>96</v>
      </c>
      <c r="B468" s="4">
        <v>2024.0</v>
      </c>
      <c r="C468" s="4">
        <v>10.0</v>
      </c>
      <c r="D468" s="4">
        <v>41.0</v>
      </c>
      <c r="E468" s="4" t="s">
        <v>17</v>
      </c>
      <c r="F468" s="4" t="s">
        <v>18</v>
      </c>
      <c r="G468" s="4" t="s">
        <v>19</v>
      </c>
      <c r="H468" s="4">
        <v>318.0</v>
      </c>
      <c r="I468" s="4">
        <v>4925.82</v>
      </c>
      <c r="J468" s="4">
        <v>15.49</v>
      </c>
      <c r="K468" s="4" t="s">
        <v>16</v>
      </c>
      <c r="L468" s="4" t="s">
        <v>16</v>
      </c>
      <c r="M468" s="4" t="s">
        <v>61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" t="s">
        <v>96</v>
      </c>
      <c r="B469" s="4">
        <v>2024.0</v>
      </c>
      <c r="C469" s="4">
        <v>10.0</v>
      </c>
      <c r="D469" s="4">
        <v>41.0</v>
      </c>
      <c r="E469" s="4" t="s">
        <v>21</v>
      </c>
      <c r="F469" s="4" t="s">
        <v>22</v>
      </c>
      <c r="G469" s="4" t="s">
        <v>23</v>
      </c>
      <c r="H469" s="4">
        <v>320.0</v>
      </c>
      <c r="I469" s="4">
        <v>1276.8</v>
      </c>
      <c r="J469" s="4">
        <v>3.99</v>
      </c>
      <c r="K469" s="4" t="s">
        <v>16</v>
      </c>
      <c r="L469" s="4" t="s">
        <v>16</v>
      </c>
      <c r="M469" s="4" t="s">
        <v>61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" t="s">
        <v>96</v>
      </c>
      <c r="B470" s="4">
        <v>2024.0</v>
      </c>
      <c r="C470" s="4">
        <v>10.0</v>
      </c>
      <c r="D470" s="4">
        <v>41.0</v>
      </c>
      <c r="E470" s="4" t="s">
        <v>25</v>
      </c>
      <c r="F470" s="4" t="s">
        <v>26</v>
      </c>
      <c r="G470" s="4" t="s">
        <v>27</v>
      </c>
      <c r="H470" s="4">
        <v>300.0</v>
      </c>
      <c r="I470" s="4">
        <v>1347.0</v>
      </c>
      <c r="J470" s="4">
        <v>4.49</v>
      </c>
      <c r="K470" s="4" t="s">
        <v>24</v>
      </c>
      <c r="L470" s="4" t="s">
        <v>16</v>
      </c>
      <c r="M470" s="4" t="s">
        <v>61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" t="s">
        <v>96</v>
      </c>
      <c r="B471" s="4">
        <v>2024.0</v>
      </c>
      <c r="C471" s="4">
        <v>10.0</v>
      </c>
      <c r="D471" s="4">
        <v>41.0</v>
      </c>
      <c r="E471" s="4" t="s">
        <v>28</v>
      </c>
      <c r="F471" s="4" t="s">
        <v>29</v>
      </c>
      <c r="G471" s="4" t="s">
        <v>19</v>
      </c>
      <c r="H471" s="4">
        <v>315.0</v>
      </c>
      <c r="I471" s="4">
        <v>2831.85</v>
      </c>
      <c r="J471" s="4">
        <v>8.99</v>
      </c>
      <c r="K471" s="4" t="s">
        <v>16</v>
      </c>
      <c r="L471" s="4" t="s">
        <v>16</v>
      </c>
      <c r="M471" s="4" t="s">
        <v>61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" t="s">
        <v>97</v>
      </c>
      <c r="B472" s="4">
        <v>2024.0</v>
      </c>
      <c r="C472" s="4">
        <v>10.0</v>
      </c>
      <c r="D472" s="4">
        <v>42.0</v>
      </c>
      <c r="E472" s="4" t="s">
        <v>13</v>
      </c>
      <c r="F472" s="4" t="s">
        <v>14</v>
      </c>
      <c r="G472" s="4" t="s">
        <v>15</v>
      </c>
      <c r="H472" s="4">
        <v>495.0</v>
      </c>
      <c r="I472" s="4">
        <v>6430.05</v>
      </c>
      <c r="J472" s="4">
        <v>12.99</v>
      </c>
      <c r="K472" s="4" t="s">
        <v>16</v>
      </c>
      <c r="L472" s="4" t="s">
        <v>16</v>
      </c>
      <c r="M472" s="4" t="s">
        <v>61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" t="s">
        <v>97</v>
      </c>
      <c r="B473" s="4">
        <v>2024.0</v>
      </c>
      <c r="C473" s="4">
        <v>10.0</v>
      </c>
      <c r="D473" s="4">
        <v>42.0</v>
      </c>
      <c r="E473" s="4" t="s">
        <v>17</v>
      </c>
      <c r="F473" s="4" t="s">
        <v>18</v>
      </c>
      <c r="G473" s="4" t="s">
        <v>19</v>
      </c>
      <c r="H473" s="4">
        <v>352.0</v>
      </c>
      <c r="I473" s="4">
        <v>5452.48</v>
      </c>
      <c r="J473" s="4">
        <v>15.49</v>
      </c>
      <c r="K473" s="4" t="s">
        <v>16</v>
      </c>
      <c r="L473" s="4" t="s">
        <v>16</v>
      </c>
      <c r="M473" s="4" t="s">
        <v>61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" t="s">
        <v>97</v>
      </c>
      <c r="B474" s="4">
        <v>2024.0</v>
      </c>
      <c r="C474" s="4">
        <v>10.0</v>
      </c>
      <c r="D474" s="4">
        <v>42.0</v>
      </c>
      <c r="E474" s="4" t="s">
        <v>21</v>
      </c>
      <c r="F474" s="4" t="s">
        <v>22</v>
      </c>
      <c r="G474" s="4" t="s">
        <v>23</v>
      </c>
      <c r="H474" s="4">
        <v>249.0</v>
      </c>
      <c r="I474" s="4">
        <v>993.51</v>
      </c>
      <c r="J474" s="4">
        <v>3.99</v>
      </c>
      <c r="K474" s="4" t="s">
        <v>16</v>
      </c>
      <c r="L474" s="4" t="s">
        <v>16</v>
      </c>
      <c r="M474" s="4" t="s">
        <v>61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" t="s">
        <v>97</v>
      </c>
      <c r="B475" s="4">
        <v>2024.0</v>
      </c>
      <c r="C475" s="4">
        <v>10.0</v>
      </c>
      <c r="D475" s="4">
        <v>42.0</v>
      </c>
      <c r="E475" s="4" t="s">
        <v>25</v>
      </c>
      <c r="F475" s="4" t="s">
        <v>26</v>
      </c>
      <c r="G475" s="4" t="s">
        <v>27</v>
      </c>
      <c r="H475" s="4">
        <v>186.0</v>
      </c>
      <c r="I475" s="4">
        <v>835.14</v>
      </c>
      <c r="J475" s="4">
        <v>4.49</v>
      </c>
      <c r="K475" s="4" t="s">
        <v>16</v>
      </c>
      <c r="L475" s="4" t="s">
        <v>16</v>
      </c>
      <c r="M475" s="4" t="s">
        <v>61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" t="s">
        <v>97</v>
      </c>
      <c r="B476" s="4">
        <v>2024.0</v>
      </c>
      <c r="C476" s="4">
        <v>10.0</v>
      </c>
      <c r="D476" s="4">
        <v>42.0</v>
      </c>
      <c r="E476" s="4" t="s">
        <v>28</v>
      </c>
      <c r="F476" s="4" t="s">
        <v>29</v>
      </c>
      <c r="G476" s="4" t="s">
        <v>19</v>
      </c>
      <c r="H476" s="4">
        <v>236.0</v>
      </c>
      <c r="I476" s="4">
        <v>2121.64</v>
      </c>
      <c r="J476" s="4">
        <v>8.99</v>
      </c>
      <c r="K476" s="4" t="s">
        <v>16</v>
      </c>
      <c r="L476" s="4" t="s">
        <v>16</v>
      </c>
      <c r="M476" s="4" t="s">
        <v>61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" t="s">
        <v>98</v>
      </c>
      <c r="B477" s="4">
        <v>2024.0</v>
      </c>
      <c r="C477" s="4">
        <v>10.0</v>
      </c>
      <c r="D477" s="4">
        <v>43.0</v>
      </c>
      <c r="E477" s="4" t="s">
        <v>13</v>
      </c>
      <c r="F477" s="4" t="s">
        <v>14</v>
      </c>
      <c r="G477" s="4" t="s">
        <v>15</v>
      </c>
      <c r="H477" s="4">
        <v>513.0</v>
      </c>
      <c r="I477" s="4">
        <v>6663.87</v>
      </c>
      <c r="J477" s="4">
        <v>12.99</v>
      </c>
      <c r="K477" s="4" t="s">
        <v>16</v>
      </c>
      <c r="L477" s="4" t="s">
        <v>16</v>
      </c>
      <c r="M477" s="4" t="s">
        <v>61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" t="s">
        <v>98</v>
      </c>
      <c r="B478" s="4">
        <v>2024.0</v>
      </c>
      <c r="C478" s="4">
        <v>10.0</v>
      </c>
      <c r="D478" s="4">
        <v>43.0</v>
      </c>
      <c r="E478" s="4" t="s">
        <v>17</v>
      </c>
      <c r="F478" s="4" t="s">
        <v>18</v>
      </c>
      <c r="G478" s="4" t="s">
        <v>19</v>
      </c>
      <c r="H478" s="4">
        <v>383.0</v>
      </c>
      <c r="I478" s="4">
        <v>5932.67</v>
      </c>
      <c r="J478" s="4">
        <v>15.49</v>
      </c>
      <c r="K478" s="4" t="s">
        <v>16</v>
      </c>
      <c r="L478" s="4" t="s">
        <v>16</v>
      </c>
      <c r="M478" s="4" t="s">
        <v>61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" t="s">
        <v>98</v>
      </c>
      <c r="B479" s="4">
        <v>2024.0</v>
      </c>
      <c r="C479" s="4">
        <v>10.0</v>
      </c>
      <c r="D479" s="4">
        <v>43.0</v>
      </c>
      <c r="E479" s="4" t="s">
        <v>21</v>
      </c>
      <c r="F479" s="4" t="s">
        <v>22</v>
      </c>
      <c r="G479" s="4" t="s">
        <v>23</v>
      </c>
      <c r="H479" s="4">
        <v>455.0</v>
      </c>
      <c r="I479" s="4">
        <v>1815.45</v>
      </c>
      <c r="J479" s="4">
        <v>3.99</v>
      </c>
      <c r="K479" s="4" t="s">
        <v>24</v>
      </c>
      <c r="L479" s="4" t="s">
        <v>16</v>
      </c>
      <c r="M479" s="4" t="s">
        <v>61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" t="s">
        <v>98</v>
      </c>
      <c r="B480" s="4">
        <v>2024.0</v>
      </c>
      <c r="C480" s="4">
        <v>10.0</v>
      </c>
      <c r="D480" s="4">
        <v>43.0</v>
      </c>
      <c r="E480" s="4" t="s">
        <v>25</v>
      </c>
      <c r="F480" s="4" t="s">
        <v>26</v>
      </c>
      <c r="G480" s="4" t="s">
        <v>27</v>
      </c>
      <c r="H480" s="4">
        <v>238.0</v>
      </c>
      <c r="I480" s="4">
        <v>1068.62</v>
      </c>
      <c r="J480" s="4">
        <v>4.49</v>
      </c>
      <c r="K480" s="4" t="s">
        <v>16</v>
      </c>
      <c r="L480" s="4" t="s">
        <v>16</v>
      </c>
      <c r="M480" s="4" t="s">
        <v>61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" t="s">
        <v>98</v>
      </c>
      <c r="B481" s="4">
        <v>2024.0</v>
      </c>
      <c r="C481" s="4">
        <v>10.0</v>
      </c>
      <c r="D481" s="4">
        <v>43.0</v>
      </c>
      <c r="E481" s="4" t="s">
        <v>28</v>
      </c>
      <c r="F481" s="4" t="s">
        <v>29</v>
      </c>
      <c r="G481" s="4" t="s">
        <v>19</v>
      </c>
      <c r="H481" s="4">
        <v>349.0</v>
      </c>
      <c r="I481" s="4">
        <v>3137.51</v>
      </c>
      <c r="J481" s="4">
        <v>8.99</v>
      </c>
      <c r="K481" s="4" t="s">
        <v>16</v>
      </c>
      <c r="L481" s="4" t="s">
        <v>16</v>
      </c>
      <c r="M481" s="4" t="s">
        <v>61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">
        <v>45362.0</v>
      </c>
      <c r="B482" s="4">
        <v>2024.0</v>
      </c>
      <c r="C482" s="4">
        <v>11.0</v>
      </c>
      <c r="D482" s="4">
        <v>44.0</v>
      </c>
      <c r="E482" s="4" t="s">
        <v>13</v>
      </c>
      <c r="F482" s="4" t="s">
        <v>14</v>
      </c>
      <c r="G482" s="4" t="s">
        <v>15</v>
      </c>
      <c r="H482" s="4">
        <v>585.0</v>
      </c>
      <c r="I482" s="4">
        <v>7599.15</v>
      </c>
      <c r="J482" s="4">
        <v>12.99</v>
      </c>
      <c r="K482" s="4" t="s">
        <v>16</v>
      </c>
      <c r="L482" s="4" t="s">
        <v>16</v>
      </c>
      <c r="M482" s="4" t="s">
        <v>65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">
        <v>45362.0</v>
      </c>
      <c r="B483" s="4">
        <v>2024.0</v>
      </c>
      <c r="C483" s="4">
        <v>11.0</v>
      </c>
      <c r="D483" s="4">
        <v>44.0</v>
      </c>
      <c r="E483" s="4" t="s">
        <v>17</v>
      </c>
      <c r="F483" s="4" t="s">
        <v>18</v>
      </c>
      <c r="G483" s="4" t="s">
        <v>19</v>
      </c>
      <c r="H483" s="4">
        <v>589.0</v>
      </c>
      <c r="I483" s="4">
        <v>9123.61</v>
      </c>
      <c r="J483" s="4">
        <v>15.49</v>
      </c>
      <c r="K483" s="4" t="s">
        <v>16</v>
      </c>
      <c r="L483" s="4" t="s">
        <v>16</v>
      </c>
      <c r="M483" s="4" t="s">
        <v>65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">
        <v>45362.0</v>
      </c>
      <c r="B484" s="4">
        <v>2024.0</v>
      </c>
      <c r="C484" s="4">
        <v>11.0</v>
      </c>
      <c r="D484" s="4">
        <v>44.0</v>
      </c>
      <c r="E484" s="4" t="s">
        <v>21</v>
      </c>
      <c r="F484" s="4" t="s">
        <v>22</v>
      </c>
      <c r="G484" s="4" t="s">
        <v>23</v>
      </c>
      <c r="H484" s="4">
        <v>449.0</v>
      </c>
      <c r="I484" s="4">
        <v>1791.51</v>
      </c>
      <c r="J484" s="4">
        <v>3.99</v>
      </c>
      <c r="K484" s="4" t="s">
        <v>16</v>
      </c>
      <c r="L484" s="4" t="s">
        <v>16</v>
      </c>
      <c r="M484" s="4" t="s">
        <v>65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">
        <v>45362.0</v>
      </c>
      <c r="B485" s="4">
        <v>2024.0</v>
      </c>
      <c r="C485" s="4">
        <v>11.0</v>
      </c>
      <c r="D485" s="4">
        <v>44.0</v>
      </c>
      <c r="E485" s="4" t="s">
        <v>25</v>
      </c>
      <c r="F485" s="4" t="s">
        <v>26</v>
      </c>
      <c r="G485" s="4" t="s">
        <v>27</v>
      </c>
      <c r="H485" s="4">
        <v>489.0</v>
      </c>
      <c r="I485" s="4">
        <v>2195.61</v>
      </c>
      <c r="J485" s="4">
        <v>4.49</v>
      </c>
      <c r="K485" s="4" t="s">
        <v>24</v>
      </c>
      <c r="L485" s="4" t="s">
        <v>16</v>
      </c>
      <c r="M485" s="4" t="s">
        <v>65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">
        <v>45362.0</v>
      </c>
      <c r="B486" s="4">
        <v>2024.0</v>
      </c>
      <c r="C486" s="4">
        <v>11.0</v>
      </c>
      <c r="D486" s="4">
        <v>44.0</v>
      </c>
      <c r="E486" s="4" t="s">
        <v>28</v>
      </c>
      <c r="F486" s="4" t="s">
        <v>29</v>
      </c>
      <c r="G486" s="4" t="s">
        <v>19</v>
      </c>
      <c r="H486" s="4">
        <v>324.0</v>
      </c>
      <c r="I486" s="4">
        <v>2912.76</v>
      </c>
      <c r="J486" s="4">
        <v>8.99</v>
      </c>
      <c r="K486" s="4" t="s">
        <v>16</v>
      </c>
      <c r="L486" s="4" t="s">
        <v>16</v>
      </c>
      <c r="M486" s="4" t="s">
        <v>65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">
        <v>45576.0</v>
      </c>
      <c r="B487" s="4">
        <v>2024.0</v>
      </c>
      <c r="C487" s="4">
        <v>11.0</v>
      </c>
      <c r="D487" s="4">
        <v>45.0</v>
      </c>
      <c r="E487" s="4" t="s">
        <v>13</v>
      </c>
      <c r="F487" s="4" t="s">
        <v>14</v>
      </c>
      <c r="G487" s="4" t="s">
        <v>15</v>
      </c>
      <c r="H487" s="4">
        <v>790.0</v>
      </c>
      <c r="I487" s="4">
        <v>10262.1</v>
      </c>
      <c r="J487" s="4">
        <v>12.99</v>
      </c>
      <c r="K487" s="4" t="s">
        <v>24</v>
      </c>
      <c r="L487" s="4" t="s">
        <v>16</v>
      </c>
      <c r="M487" s="4" t="s">
        <v>65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">
        <v>45576.0</v>
      </c>
      <c r="B488" s="4">
        <v>2024.0</v>
      </c>
      <c r="C488" s="4">
        <v>11.0</v>
      </c>
      <c r="D488" s="4">
        <v>45.0</v>
      </c>
      <c r="E488" s="4" t="s">
        <v>17</v>
      </c>
      <c r="F488" s="4" t="s">
        <v>18</v>
      </c>
      <c r="G488" s="4" t="s">
        <v>19</v>
      </c>
      <c r="H488" s="4">
        <v>490.0</v>
      </c>
      <c r="I488" s="4">
        <v>7590.1</v>
      </c>
      <c r="J488" s="4">
        <v>15.49</v>
      </c>
      <c r="K488" s="4" t="s">
        <v>16</v>
      </c>
      <c r="L488" s="4" t="s">
        <v>16</v>
      </c>
      <c r="M488" s="4" t="s">
        <v>65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">
        <v>45576.0</v>
      </c>
      <c r="B489" s="4">
        <v>2024.0</v>
      </c>
      <c r="C489" s="4">
        <v>11.0</v>
      </c>
      <c r="D489" s="4">
        <v>45.0</v>
      </c>
      <c r="E489" s="4" t="s">
        <v>21</v>
      </c>
      <c r="F489" s="4" t="s">
        <v>22</v>
      </c>
      <c r="G489" s="4" t="s">
        <v>23</v>
      </c>
      <c r="H489" s="4">
        <v>317.0</v>
      </c>
      <c r="I489" s="4">
        <v>1264.83</v>
      </c>
      <c r="J489" s="4">
        <v>3.99</v>
      </c>
      <c r="K489" s="4" t="s">
        <v>16</v>
      </c>
      <c r="L489" s="4" t="s">
        <v>16</v>
      </c>
      <c r="M489" s="4" t="s">
        <v>65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">
        <v>45576.0</v>
      </c>
      <c r="B490" s="4">
        <v>2024.0</v>
      </c>
      <c r="C490" s="4">
        <v>11.0</v>
      </c>
      <c r="D490" s="4">
        <v>45.0</v>
      </c>
      <c r="E490" s="4" t="s">
        <v>25</v>
      </c>
      <c r="F490" s="4" t="s">
        <v>26</v>
      </c>
      <c r="G490" s="4" t="s">
        <v>27</v>
      </c>
      <c r="H490" s="4">
        <v>333.0</v>
      </c>
      <c r="I490" s="4">
        <v>1495.17</v>
      </c>
      <c r="J490" s="4">
        <v>4.49</v>
      </c>
      <c r="K490" s="4" t="s">
        <v>16</v>
      </c>
      <c r="L490" s="4" t="s">
        <v>16</v>
      </c>
      <c r="M490" s="4" t="s">
        <v>65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">
        <v>45576.0</v>
      </c>
      <c r="B491" s="4">
        <v>2024.0</v>
      </c>
      <c r="C491" s="4">
        <v>11.0</v>
      </c>
      <c r="D491" s="4">
        <v>45.0</v>
      </c>
      <c r="E491" s="4" t="s">
        <v>28</v>
      </c>
      <c r="F491" s="4" t="s">
        <v>29</v>
      </c>
      <c r="G491" s="4" t="s">
        <v>19</v>
      </c>
      <c r="H491" s="4">
        <v>290.0</v>
      </c>
      <c r="I491" s="4">
        <v>2607.1</v>
      </c>
      <c r="J491" s="4">
        <v>8.99</v>
      </c>
      <c r="K491" s="4" t="s">
        <v>16</v>
      </c>
      <c r="L491" s="4" t="s">
        <v>16</v>
      </c>
      <c r="M491" s="4" t="s">
        <v>65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" t="s">
        <v>99</v>
      </c>
      <c r="B492" s="4">
        <v>2024.0</v>
      </c>
      <c r="C492" s="4">
        <v>11.0</v>
      </c>
      <c r="D492" s="4">
        <v>46.0</v>
      </c>
      <c r="E492" s="4" t="s">
        <v>13</v>
      </c>
      <c r="F492" s="4" t="s">
        <v>14</v>
      </c>
      <c r="G492" s="4" t="s">
        <v>15</v>
      </c>
      <c r="H492" s="4">
        <v>596.0</v>
      </c>
      <c r="I492" s="4">
        <v>7742.04</v>
      </c>
      <c r="J492" s="4">
        <v>12.99</v>
      </c>
      <c r="K492" s="4" t="s">
        <v>16</v>
      </c>
      <c r="L492" s="4" t="s">
        <v>16</v>
      </c>
      <c r="M492" s="4" t="s">
        <v>65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" t="s">
        <v>99</v>
      </c>
      <c r="B493" s="4">
        <v>2024.0</v>
      </c>
      <c r="C493" s="4">
        <v>11.0</v>
      </c>
      <c r="D493" s="4">
        <v>46.0</v>
      </c>
      <c r="E493" s="4" t="s">
        <v>17</v>
      </c>
      <c r="F493" s="4" t="s">
        <v>18</v>
      </c>
      <c r="G493" s="4" t="s">
        <v>19</v>
      </c>
      <c r="H493" s="4">
        <v>470.0</v>
      </c>
      <c r="I493" s="4">
        <v>7280.3</v>
      </c>
      <c r="J493" s="4">
        <v>15.49</v>
      </c>
      <c r="K493" s="4" t="s">
        <v>16</v>
      </c>
      <c r="L493" s="4" t="s">
        <v>16</v>
      </c>
      <c r="M493" s="4" t="s">
        <v>65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" t="s">
        <v>99</v>
      </c>
      <c r="B494" s="4">
        <v>2024.0</v>
      </c>
      <c r="C494" s="4">
        <v>11.0</v>
      </c>
      <c r="D494" s="4">
        <v>46.0</v>
      </c>
      <c r="E494" s="4" t="s">
        <v>21</v>
      </c>
      <c r="F494" s="4" t="s">
        <v>22</v>
      </c>
      <c r="G494" s="4" t="s">
        <v>23</v>
      </c>
      <c r="H494" s="4">
        <v>595.0</v>
      </c>
      <c r="I494" s="4">
        <v>2374.05</v>
      </c>
      <c r="J494" s="4">
        <v>3.99</v>
      </c>
      <c r="K494" s="4" t="s">
        <v>24</v>
      </c>
      <c r="L494" s="4" t="s">
        <v>16</v>
      </c>
      <c r="M494" s="4" t="s">
        <v>65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" t="s">
        <v>99</v>
      </c>
      <c r="B495" s="4">
        <v>2024.0</v>
      </c>
      <c r="C495" s="4">
        <v>11.0</v>
      </c>
      <c r="D495" s="4">
        <v>46.0</v>
      </c>
      <c r="E495" s="4" t="s">
        <v>25</v>
      </c>
      <c r="F495" s="4" t="s">
        <v>26</v>
      </c>
      <c r="G495" s="4" t="s">
        <v>27</v>
      </c>
      <c r="H495" s="4">
        <v>221.0</v>
      </c>
      <c r="I495" s="4">
        <v>992.29</v>
      </c>
      <c r="J495" s="4">
        <v>4.49</v>
      </c>
      <c r="K495" s="4" t="s">
        <v>16</v>
      </c>
      <c r="L495" s="4" t="s">
        <v>16</v>
      </c>
      <c r="M495" s="4" t="s">
        <v>65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" t="s">
        <v>99</v>
      </c>
      <c r="B496" s="4">
        <v>2024.0</v>
      </c>
      <c r="C496" s="4">
        <v>11.0</v>
      </c>
      <c r="D496" s="4">
        <v>46.0</v>
      </c>
      <c r="E496" s="4" t="s">
        <v>28</v>
      </c>
      <c r="F496" s="4" t="s">
        <v>29</v>
      </c>
      <c r="G496" s="4" t="s">
        <v>19</v>
      </c>
      <c r="H496" s="4">
        <v>413.0</v>
      </c>
      <c r="I496" s="4">
        <v>3712.87</v>
      </c>
      <c r="J496" s="4">
        <v>8.99</v>
      </c>
      <c r="K496" s="4" t="s">
        <v>16</v>
      </c>
      <c r="L496" s="4" t="s">
        <v>16</v>
      </c>
      <c r="M496" s="4" t="s">
        <v>65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" t="s">
        <v>100</v>
      </c>
      <c r="B497" s="4">
        <v>2024.0</v>
      </c>
      <c r="C497" s="4">
        <v>11.0</v>
      </c>
      <c r="D497" s="4">
        <v>47.0</v>
      </c>
      <c r="E497" s="4" t="s">
        <v>13</v>
      </c>
      <c r="F497" s="4" t="s">
        <v>14</v>
      </c>
      <c r="G497" s="4" t="s">
        <v>15</v>
      </c>
      <c r="H497" s="4">
        <v>728.0</v>
      </c>
      <c r="I497" s="4">
        <v>9456.72</v>
      </c>
      <c r="J497" s="4">
        <v>12.99</v>
      </c>
      <c r="K497" s="4" t="s">
        <v>16</v>
      </c>
      <c r="L497" s="4" t="s">
        <v>16</v>
      </c>
      <c r="M497" s="4" t="s">
        <v>65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" t="s">
        <v>100</v>
      </c>
      <c r="B498" s="4">
        <v>2024.0</v>
      </c>
      <c r="C498" s="4">
        <v>11.0</v>
      </c>
      <c r="D498" s="4">
        <v>47.0</v>
      </c>
      <c r="E498" s="4" t="s">
        <v>17</v>
      </c>
      <c r="F498" s="4" t="s">
        <v>18</v>
      </c>
      <c r="G498" s="4" t="s">
        <v>19</v>
      </c>
      <c r="H498" s="4">
        <v>561.0</v>
      </c>
      <c r="I498" s="4">
        <v>8689.89</v>
      </c>
      <c r="J498" s="4">
        <v>15.49</v>
      </c>
      <c r="K498" s="4" t="s">
        <v>16</v>
      </c>
      <c r="L498" s="4" t="s">
        <v>16</v>
      </c>
      <c r="M498" s="4" t="s">
        <v>65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" t="s">
        <v>100</v>
      </c>
      <c r="B499" s="4">
        <v>2024.0</v>
      </c>
      <c r="C499" s="4">
        <v>11.0</v>
      </c>
      <c r="D499" s="4">
        <v>47.0</v>
      </c>
      <c r="E499" s="4" t="s">
        <v>21</v>
      </c>
      <c r="F499" s="4" t="s">
        <v>22</v>
      </c>
      <c r="G499" s="4" t="s">
        <v>23</v>
      </c>
      <c r="H499" s="4">
        <v>593.0</v>
      </c>
      <c r="I499" s="4">
        <v>2366.07</v>
      </c>
      <c r="J499" s="4">
        <v>3.99</v>
      </c>
      <c r="K499" s="4" t="s">
        <v>24</v>
      </c>
      <c r="L499" s="4" t="s">
        <v>16</v>
      </c>
      <c r="M499" s="4" t="s">
        <v>65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" t="s">
        <v>100</v>
      </c>
      <c r="B500" s="4">
        <v>2024.0</v>
      </c>
      <c r="C500" s="4">
        <v>11.0</v>
      </c>
      <c r="D500" s="4">
        <v>47.0</v>
      </c>
      <c r="E500" s="4" t="s">
        <v>25</v>
      </c>
      <c r="F500" s="4" t="s">
        <v>26</v>
      </c>
      <c r="G500" s="4" t="s">
        <v>27</v>
      </c>
      <c r="H500" s="4">
        <v>287.0</v>
      </c>
      <c r="I500" s="4">
        <v>1288.63</v>
      </c>
      <c r="J500" s="4">
        <v>4.49</v>
      </c>
      <c r="K500" s="4" t="s">
        <v>16</v>
      </c>
      <c r="L500" s="4" t="s">
        <v>16</v>
      </c>
      <c r="M500" s="4" t="s">
        <v>65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" t="s">
        <v>100</v>
      </c>
      <c r="B501" s="4">
        <v>2024.0</v>
      </c>
      <c r="C501" s="4">
        <v>11.0</v>
      </c>
      <c r="D501" s="4">
        <v>47.0</v>
      </c>
      <c r="E501" s="4" t="s">
        <v>28</v>
      </c>
      <c r="F501" s="4" t="s">
        <v>29</v>
      </c>
      <c r="G501" s="4" t="s">
        <v>19</v>
      </c>
      <c r="H501" s="4">
        <v>487.0</v>
      </c>
      <c r="I501" s="4">
        <v>4378.13</v>
      </c>
      <c r="J501" s="4">
        <v>8.99</v>
      </c>
      <c r="K501" s="4" t="s">
        <v>24</v>
      </c>
      <c r="L501" s="4" t="s">
        <v>16</v>
      </c>
      <c r="M501" s="4" t="s">
        <v>65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">
        <v>45303.0</v>
      </c>
      <c r="B502" s="4">
        <v>2024.0</v>
      </c>
      <c r="C502" s="4">
        <v>12.0</v>
      </c>
      <c r="D502" s="4">
        <v>48.0</v>
      </c>
      <c r="E502" s="4" t="s">
        <v>13</v>
      </c>
      <c r="F502" s="4" t="s">
        <v>14</v>
      </c>
      <c r="G502" s="4" t="s">
        <v>15</v>
      </c>
      <c r="H502" s="4">
        <v>825.0</v>
      </c>
      <c r="I502" s="4">
        <v>10716.75</v>
      </c>
      <c r="J502" s="4">
        <v>12.99</v>
      </c>
      <c r="K502" s="4" t="s">
        <v>24</v>
      </c>
      <c r="L502" s="4" t="s">
        <v>16</v>
      </c>
      <c r="M502" s="4" t="s">
        <v>68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">
        <v>45303.0</v>
      </c>
      <c r="B503" s="4">
        <v>2024.0</v>
      </c>
      <c r="C503" s="4">
        <v>12.0</v>
      </c>
      <c r="D503" s="4">
        <v>48.0</v>
      </c>
      <c r="E503" s="4" t="s">
        <v>17</v>
      </c>
      <c r="F503" s="4" t="s">
        <v>18</v>
      </c>
      <c r="G503" s="4" t="s">
        <v>19</v>
      </c>
      <c r="H503" s="4">
        <v>380.0</v>
      </c>
      <c r="I503" s="4">
        <v>5886.2</v>
      </c>
      <c r="J503" s="4">
        <v>15.49</v>
      </c>
      <c r="K503" s="4" t="s">
        <v>16</v>
      </c>
      <c r="L503" s="4" t="s">
        <v>16</v>
      </c>
      <c r="M503" s="4" t="s">
        <v>68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">
        <v>45303.0</v>
      </c>
      <c r="B504" s="4">
        <v>2024.0</v>
      </c>
      <c r="C504" s="4">
        <v>12.0</v>
      </c>
      <c r="D504" s="4">
        <v>48.0</v>
      </c>
      <c r="E504" s="4" t="s">
        <v>21</v>
      </c>
      <c r="F504" s="4" t="s">
        <v>22</v>
      </c>
      <c r="G504" s="4" t="s">
        <v>23</v>
      </c>
      <c r="H504" s="4">
        <v>346.0</v>
      </c>
      <c r="I504" s="4">
        <v>1380.54</v>
      </c>
      <c r="J504" s="4">
        <v>3.99</v>
      </c>
      <c r="K504" s="4" t="s">
        <v>16</v>
      </c>
      <c r="L504" s="4" t="s">
        <v>16</v>
      </c>
      <c r="M504" s="4" t="s">
        <v>68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">
        <v>45303.0</v>
      </c>
      <c r="B505" s="4">
        <v>2024.0</v>
      </c>
      <c r="C505" s="4">
        <v>12.0</v>
      </c>
      <c r="D505" s="4">
        <v>48.0</v>
      </c>
      <c r="E505" s="4" t="s">
        <v>25</v>
      </c>
      <c r="F505" s="4" t="s">
        <v>26</v>
      </c>
      <c r="G505" s="4" t="s">
        <v>27</v>
      </c>
      <c r="H505" s="4">
        <v>191.0</v>
      </c>
      <c r="I505" s="4">
        <v>857.59</v>
      </c>
      <c r="J505" s="4">
        <v>4.49</v>
      </c>
      <c r="K505" s="4" t="s">
        <v>16</v>
      </c>
      <c r="L505" s="4" t="s">
        <v>16</v>
      </c>
      <c r="M505" s="4" t="s">
        <v>68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">
        <v>45303.0</v>
      </c>
      <c r="B506" s="4">
        <v>2024.0</v>
      </c>
      <c r="C506" s="4">
        <v>12.0</v>
      </c>
      <c r="D506" s="4">
        <v>48.0</v>
      </c>
      <c r="E506" s="4" t="s">
        <v>28</v>
      </c>
      <c r="F506" s="4" t="s">
        <v>29</v>
      </c>
      <c r="G506" s="4" t="s">
        <v>19</v>
      </c>
      <c r="H506" s="4">
        <v>360.0</v>
      </c>
      <c r="I506" s="4">
        <v>3236.4</v>
      </c>
      <c r="J506" s="4">
        <v>8.99</v>
      </c>
      <c r="K506" s="4" t="s">
        <v>16</v>
      </c>
      <c r="L506" s="4" t="s">
        <v>16</v>
      </c>
      <c r="M506" s="4" t="s">
        <v>68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">
        <v>45516.0</v>
      </c>
      <c r="B507" s="4">
        <v>2024.0</v>
      </c>
      <c r="C507" s="4">
        <v>12.0</v>
      </c>
      <c r="D507" s="4">
        <v>49.0</v>
      </c>
      <c r="E507" s="4" t="s">
        <v>13</v>
      </c>
      <c r="F507" s="4" t="s">
        <v>14</v>
      </c>
      <c r="G507" s="4" t="s">
        <v>15</v>
      </c>
      <c r="H507" s="4">
        <v>658.0</v>
      </c>
      <c r="I507" s="4">
        <v>8547.42</v>
      </c>
      <c r="J507" s="4">
        <v>12.99</v>
      </c>
      <c r="K507" s="4" t="s">
        <v>16</v>
      </c>
      <c r="L507" s="4" t="s">
        <v>16</v>
      </c>
      <c r="M507" s="4" t="s">
        <v>68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">
        <v>45516.0</v>
      </c>
      <c r="B508" s="4">
        <v>2024.0</v>
      </c>
      <c r="C508" s="4">
        <v>12.0</v>
      </c>
      <c r="D508" s="4">
        <v>49.0</v>
      </c>
      <c r="E508" s="4" t="s">
        <v>17</v>
      </c>
      <c r="F508" s="4" t="s">
        <v>18</v>
      </c>
      <c r="G508" s="4" t="s">
        <v>19</v>
      </c>
      <c r="H508" s="4">
        <v>599.0</v>
      </c>
      <c r="I508" s="4">
        <v>9278.51</v>
      </c>
      <c r="J508" s="4">
        <v>15.49</v>
      </c>
      <c r="K508" s="4" t="s">
        <v>24</v>
      </c>
      <c r="L508" s="4" t="s">
        <v>16</v>
      </c>
      <c r="M508" s="4" t="s">
        <v>68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">
        <v>45516.0</v>
      </c>
      <c r="B509" s="4">
        <v>2024.0</v>
      </c>
      <c r="C509" s="4">
        <v>12.0</v>
      </c>
      <c r="D509" s="4">
        <v>49.0</v>
      </c>
      <c r="E509" s="4" t="s">
        <v>21</v>
      </c>
      <c r="F509" s="4" t="s">
        <v>22</v>
      </c>
      <c r="G509" s="4" t="s">
        <v>23</v>
      </c>
      <c r="H509" s="4">
        <v>478.0</v>
      </c>
      <c r="I509" s="4">
        <v>1907.22</v>
      </c>
      <c r="J509" s="4">
        <v>3.99</v>
      </c>
      <c r="K509" s="4" t="s">
        <v>16</v>
      </c>
      <c r="L509" s="4" t="s">
        <v>16</v>
      </c>
      <c r="M509" s="4" t="s">
        <v>68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">
        <v>45516.0</v>
      </c>
      <c r="B510" s="4">
        <v>2024.0</v>
      </c>
      <c r="C510" s="4">
        <v>12.0</v>
      </c>
      <c r="D510" s="4">
        <v>49.0</v>
      </c>
      <c r="E510" s="4" t="s">
        <v>25</v>
      </c>
      <c r="F510" s="4" t="s">
        <v>26</v>
      </c>
      <c r="G510" s="4" t="s">
        <v>27</v>
      </c>
      <c r="H510" s="4">
        <v>283.0</v>
      </c>
      <c r="I510" s="4">
        <v>1270.67</v>
      </c>
      <c r="J510" s="4">
        <v>4.49</v>
      </c>
      <c r="K510" s="4" t="s">
        <v>16</v>
      </c>
      <c r="L510" s="4" t="s">
        <v>16</v>
      </c>
      <c r="M510" s="4" t="s">
        <v>68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">
        <v>45516.0</v>
      </c>
      <c r="B511" s="4">
        <v>2024.0</v>
      </c>
      <c r="C511" s="4">
        <v>12.0</v>
      </c>
      <c r="D511" s="4">
        <v>49.0</v>
      </c>
      <c r="E511" s="4" t="s">
        <v>28</v>
      </c>
      <c r="F511" s="4" t="s">
        <v>29</v>
      </c>
      <c r="G511" s="4" t="s">
        <v>19</v>
      </c>
      <c r="H511" s="4">
        <v>498.0</v>
      </c>
      <c r="I511" s="4">
        <v>4477.02</v>
      </c>
      <c r="J511" s="4">
        <v>8.99</v>
      </c>
      <c r="K511" s="4" t="s">
        <v>24</v>
      </c>
      <c r="L511" s="4" t="s">
        <v>16</v>
      </c>
      <c r="M511" s="4" t="s">
        <v>68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" t="s">
        <v>101</v>
      </c>
      <c r="B512" s="4">
        <v>2024.0</v>
      </c>
      <c r="C512" s="4">
        <v>12.0</v>
      </c>
      <c r="D512" s="4">
        <v>50.0</v>
      </c>
      <c r="E512" s="4" t="s">
        <v>13</v>
      </c>
      <c r="F512" s="4" t="s">
        <v>14</v>
      </c>
      <c r="G512" s="4" t="s">
        <v>15</v>
      </c>
      <c r="H512" s="4">
        <v>666.0</v>
      </c>
      <c r="I512" s="4">
        <v>8651.34</v>
      </c>
      <c r="J512" s="4">
        <v>12.99</v>
      </c>
      <c r="K512" s="4" t="s">
        <v>16</v>
      </c>
      <c r="L512" s="4" t="s">
        <v>16</v>
      </c>
      <c r="M512" s="4" t="s">
        <v>68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" t="s">
        <v>101</v>
      </c>
      <c r="B513" s="4">
        <v>2024.0</v>
      </c>
      <c r="C513" s="4">
        <v>12.0</v>
      </c>
      <c r="D513" s="4">
        <v>50.0</v>
      </c>
      <c r="E513" s="4" t="s">
        <v>17</v>
      </c>
      <c r="F513" s="4" t="s">
        <v>18</v>
      </c>
      <c r="G513" s="4" t="s">
        <v>19</v>
      </c>
      <c r="H513" s="4">
        <v>534.0</v>
      </c>
      <c r="I513" s="4">
        <v>8271.66</v>
      </c>
      <c r="J513" s="4">
        <v>15.49</v>
      </c>
      <c r="K513" s="4" t="s">
        <v>16</v>
      </c>
      <c r="L513" s="4" t="s">
        <v>16</v>
      </c>
      <c r="M513" s="4" t="s">
        <v>68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" t="s">
        <v>101</v>
      </c>
      <c r="B514" s="4">
        <v>2024.0</v>
      </c>
      <c r="C514" s="4">
        <v>12.0</v>
      </c>
      <c r="D514" s="4">
        <v>50.0</v>
      </c>
      <c r="E514" s="4" t="s">
        <v>21</v>
      </c>
      <c r="F514" s="4" t="s">
        <v>22</v>
      </c>
      <c r="G514" s="4" t="s">
        <v>23</v>
      </c>
      <c r="H514" s="4">
        <v>350.0</v>
      </c>
      <c r="I514" s="4">
        <v>1396.5</v>
      </c>
      <c r="J514" s="4">
        <v>3.99</v>
      </c>
      <c r="K514" s="4" t="s">
        <v>16</v>
      </c>
      <c r="L514" s="4" t="s">
        <v>16</v>
      </c>
      <c r="M514" s="4" t="s">
        <v>68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" t="s">
        <v>101</v>
      </c>
      <c r="B515" s="4">
        <v>2024.0</v>
      </c>
      <c r="C515" s="4">
        <v>12.0</v>
      </c>
      <c r="D515" s="4">
        <v>50.0</v>
      </c>
      <c r="E515" s="4" t="s">
        <v>25</v>
      </c>
      <c r="F515" s="4" t="s">
        <v>26</v>
      </c>
      <c r="G515" s="4" t="s">
        <v>27</v>
      </c>
      <c r="H515" s="4">
        <v>377.0</v>
      </c>
      <c r="I515" s="4">
        <v>1692.73</v>
      </c>
      <c r="J515" s="4">
        <v>4.49</v>
      </c>
      <c r="K515" s="4" t="s">
        <v>24</v>
      </c>
      <c r="L515" s="4" t="s">
        <v>16</v>
      </c>
      <c r="M515" s="4" t="s">
        <v>68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" t="s">
        <v>101</v>
      </c>
      <c r="B516" s="4">
        <v>2024.0</v>
      </c>
      <c r="C516" s="4">
        <v>12.0</v>
      </c>
      <c r="D516" s="4">
        <v>50.0</v>
      </c>
      <c r="E516" s="4" t="s">
        <v>28</v>
      </c>
      <c r="F516" s="4" t="s">
        <v>29</v>
      </c>
      <c r="G516" s="4" t="s">
        <v>19</v>
      </c>
      <c r="H516" s="4">
        <v>360.0</v>
      </c>
      <c r="I516" s="4">
        <v>3236.4</v>
      </c>
      <c r="J516" s="4">
        <v>8.99</v>
      </c>
      <c r="K516" s="4" t="s">
        <v>16</v>
      </c>
      <c r="L516" s="4" t="s">
        <v>16</v>
      </c>
      <c r="M516" s="4" t="s">
        <v>68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" t="s">
        <v>102</v>
      </c>
      <c r="B517" s="4">
        <v>2024.0</v>
      </c>
      <c r="C517" s="4">
        <v>12.0</v>
      </c>
      <c r="D517" s="4">
        <v>51.0</v>
      </c>
      <c r="E517" s="4" t="s">
        <v>13</v>
      </c>
      <c r="F517" s="4" t="s">
        <v>14</v>
      </c>
      <c r="G517" s="4" t="s">
        <v>15</v>
      </c>
      <c r="H517" s="4">
        <v>723.0</v>
      </c>
      <c r="I517" s="4">
        <v>9391.77</v>
      </c>
      <c r="J517" s="4">
        <v>12.99</v>
      </c>
      <c r="K517" s="4" t="s">
        <v>16</v>
      </c>
      <c r="L517" s="4" t="s">
        <v>16</v>
      </c>
      <c r="M517" s="4" t="s">
        <v>68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" t="s">
        <v>102</v>
      </c>
      <c r="B518" s="4">
        <v>2024.0</v>
      </c>
      <c r="C518" s="4">
        <v>12.0</v>
      </c>
      <c r="D518" s="4">
        <v>51.0</v>
      </c>
      <c r="E518" s="4" t="s">
        <v>17</v>
      </c>
      <c r="F518" s="4" t="s">
        <v>18</v>
      </c>
      <c r="G518" s="4" t="s">
        <v>19</v>
      </c>
      <c r="H518" s="4">
        <v>409.0</v>
      </c>
      <c r="I518" s="4">
        <v>6335.41</v>
      </c>
      <c r="J518" s="4">
        <v>15.49</v>
      </c>
      <c r="K518" s="4" t="s">
        <v>16</v>
      </c>
      <c r="L518" s="4" t="s">
        <v>16</v>
      </c>
      <c r="M518" s="4" t="s">
        <v>68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" t="s">
        <v>102</v>
      </c>
      <c r="B519" s="4">
        <v>2024.0</v>
      </c>
      <c r="C519" s="4">
        <v>12.0</v>
      </c>
      <c r="D519" s="4">
        <v>51.0</v>
      </c>
      <c r="E519" s="4" t="s">
        <v>21</v>
      </c>
      <c r="F519" s="4" t="s">
        <v>22</v>
      </c>
      <c r="G519" s="4" t="s">
        <v>23</v>
      </c>
      <c r="H519" s="4">
        <v>407.0</v>
      </c>
      <c r="I519" s="4">
        <v>1623.93</v>
      </c>
      <c r="J519" s="4">
        <v>3.99</v>
      </c>
      <c r="K519" s="4" t="s">
        <v>16</v>
      </c>
      <c r="L519" s="4" t="s">
        <v>16</v>
      </c>
      <c r="M519" s="4" t="s">
        <v>68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" t="s">
        <v>102</v>
      </c>
      <c r="B520" s="4">
        <v>2024.0</v>
      </c>
      <c r="C520" s="4">
        <v>12.0</v>
      </c>
      <c r="D520" s="4">
        <v>51.0</v>
      </c>
      <c r="E520" s="4" t="s">
        <v>25</v>
      </c>
      <c r="F520" s="4" t="s">
        <v>26</v>
      </c>
      <c r="G520" s="4" t="s">
        <v>27</v>
      </c>
      <c r="H520" s="4">
        <v>383.0</v>
      </c>
      <c r="I520" s="4">
        <v>1719.67</v>
      </c>
      <c r="J520" s="4">
        <v>4.49</v>
      </c>
      <c r="K520" s="4" t="s">
        <v>24</v>
      </c>
      <c r="L520" s="4" t="s">
        <v>16</v>
      </c>
      <c r="M520" s="4" t="s">
        <v>68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" t="s">
        <v>102</v>
      </c>
      <c r="B521" s="4">
        <v>2024.0</v>
      </c>
      <c r="C521" s="4">
        <v>12.0</v>
      </c>
      <c r="D521" s="4">
        <v>51.0</v>
      </c>
      <c r="E521" s="4" t="s">
        <v>28</v>
      </c>
      <c r="F521" s="4" t="s">
        <v>29</v>
      </c>
      <c r="G521" s="4" t="s">
        <v>19</v>
      </c>
      <c r="H521" s="4">
        <v>612.0</v>
      </c>
      <c r="I521" s="4">
        <v>5501.88</v>
      </c>
      <c r="J521" s="4">
        <v>8.99</v>
      </c>
      <c r="K521" s="4" t="s">
        <v>24</v>
      </c>
      <c r="L521" s="4" t="s">
        <v>16</v>
      </c>
      <c r="M521" s="4" t="s">
        <v>68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E1:E1000">
    <cfRule type="containsText" dxfId="4" priority="1" operator="containsText" text="SKU-1001">
      <formula>NOT(ISERROR(SEARCH(("SKU-1001"),(E1))))</formula>
    </cfRule>
  </conditionalFormatting>
  <conditionalFormatting sqref="E1:E1000">
    <cfRule type="containsText" dxfId="5" priority="2" operator="containsText" text="SKU-1002">
      <formula>NOT(ISERROR(SEARCH(("SKU-1002"),(E1))))</formula>
    </cfRule>
  </conditionalFormatting>
  <conditionalFormatting sqref="E1:E1000">
    <cfRule type="containsText" dxfId="6" priority="3" operator="containsText" text="SKU-1003">
      <formula>NOT(ISERROR(SEARCH(("SKU-1003"),(E1))))</formula>
    </cfRule>
  </conditionalFormatting>
  <conditionalFormatting sqref="E1:E1000">
    <cfRule type="containsText" dxfId="7" priority="4" operator="containsText" text="SKU-1004">
      <formula>NOT(ISERROR(SEARCH(("SKU-1004"),(E1))))</formula>
    </cfRule>
  </conditionalFormatting>
  <conditionalFormatting sqref="E1:E1000">
    <cfRule type="containsText" dxfId="8" priority="5" operator="containsText" text="SKU-1005">
      <formula>NOT(ISERROR(SEARCH(("SKU-1005"),(E1))))</formula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2" width="15.5"/>
    <col customWidth="1" min="3" max="3" width="27.88"/>
    <col customWidth="1" min="4" max="4" width="28.25"/>
    <col customWidth="1" min="5" max="5" width="15.75"/>
    <col customWidth="1" min="6" max="6" width="15.63"/>
    <col customWidth="1" min="7" max="26" width="13.38"/>
  </cols>
  <sheetData>
    <row r="1">
      <c r="A1" s="1" t="s">
        <v>4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6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13</v>
      </c>
      <c r="B2" s="8">
        <f>SUMIFS('RAW DATA'!H:H,'RAW DATA'!E:E,A2)</f>
        <v>54076</v>
      </c>
      <c r="C2" s="8">
        <f>AVERAGEIFS('RAW DATA'!H:H,'RAW DATA'!E:E,A2,'RAW DATA'!K:K,"No")</f>
        <v>486.4</v>
      </c>
      <c r="D2" s="8">
        <f>AVERAGEIFS('RAW DATA'!H:H,'RAW DATA'!E:E,A2,'RAW DATA'!K:K,"Yes")</f>
        <v>670.1052632</v>
      </c>
      <c r="E2" s="9">
        <f t="shared" ref="E2:E6" si="1">(D2-C2)/C2</f>
        <v>0.377683518</v>
      </c>
      <c r="F2" s="8">
        <f>COUNTIFS('RAW DATA'!E:E,A2,'RAW DATA'!L:L,"Yes")</f>
        <v>3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" t="s">
        <v>17</v>
      </c>
      <c r="B3" s="8">
        <f>SUMIFS('RAW DATA'!H:H,'RAW DATA'!E:E,A3)</f>
        <v>37356</v>
      </c>
      <c r="C3" s="8">
        <f>AVERAGEIFS('RAW DATA'!H:H,'RAW DATA'!E:E,A3,'RAW DATA'!K:K,"No")</f>
        <v>337.6896552</v>
      </c>
      <c r="D3" s="8">
        <f>AVERAGEIFS('RAW DATA'!H:H,'RAW DATA'!E:E,A3,'RAW DATA'!K:K,"Yes")</f>
        <v>469.2352941</v>
      </c>
      <c r="E3" s="9">
        <f t="shared" si="1"/>
        <v>0.3895459542</v>
      </c>
      <c r="F3" s="8">
        <f>COUNTIFS('RAW DATA'!E:E,A3,'RAW DATA'!L:L,"Yes")</f>
        <v>5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" t="s">
        <v>21</v>
      </c>
      <c r="B4" s="8">
        <f>SUMIFS('RAW DATA'!H:H,'RAW DATA'!E:E,A4)</f>
        <v>33573</v>
      </c>
      <c r="C4" s="8">
        <f>AVERAGEIFS('RAW DATA'!H:H,'RAW DATA'!E:E,A4,'RAW DATA'!K:K,"No")</f>
        <v>296.1392405</v>
      </c>
      <c r="D4" s="8">
        <f>AVERAGEIFS('RAW DATA'!H:H,'RAW DATA'!E:E,A4,'RAW DATA'!K:K,"Yes")</f>
        <v>407.12</v>
      </c>
      <c r="E4" s="9">
        <f t="shared" si="1"/>
        <v>0.3747587091</v>
      </c>
      <c r="F4" s="8">
        <f>COUNTIFS('RAW DATA'!E:E,A4,'RAW DATA'!L:L,"Yes")</f>
        <v>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4" t="s">
        <v>25</v>
      </c>
      <c r="B5" s="8">
        <f>SUMIFS('RAW DATA'!H:H,'RAW DATA'!E:E,A5)</f>
        <v>21599</v>
      </c>
      <c r="C5" s="8">
        <f>AVERAGEIFS('RAW DATA'!H:H,'RAW DATA'!E:E,A5,'RAW DATA'!K:K,"No")</f>
        <v>191.9195402</v>
      </c>
      <c r="D5" s="8">
        <f>AVERAGEIFS('RAW DATA'!H:H,'RAW DATA'!E:E,A5,'RAW DATA'!K:K,"Yes")</f>
        <v>288.3529412</v>
      </c>
      <c r="E5" s="9">
        <f t="shared" si="1"/>
        <v>0.5024678614</v>
      </c>
      <c r="F5" s="8">
        <f>COUNTIFS('RAW DATA'!E:E,A5,'RAW DATA'!L:L,"Yes")</f>
        <v>10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" t="s">
        <v>28</v>
      </c>
      <c r="B6" s="8">
        <f>SUMIFS('RAW DATA'!H:H,'RAW DATA'!E:E,A6)</f>
        <v>28687</v>
      </c>
      <c r="C6" s="8">
        <f>AVERAGEIFS('RAW DATA'!H:H,'RAW DATA'!E:E,A6,'RAW DATA'!K:K,"No")</f>
        <v>254.3068182</v>
      </c>
      <c r="D6" s="8">
        <f>AVERAGEIFS('RAW DATA'!H:H,'RAW DATA'!E:E,A6,'RAW DATA'!K:K,"Yes")</f>
        <v>394.25</v>
      </c>
      <c r="E6" s="9">
        <f t="shared" si="1"/>
        <v>0.5502926851</v>
      </c>
      <c r="F6" s="8">
        <f>COUNTIFS('RAW DATA'!E:E,A6,'RAW DATA'!L:L,"Yes")</f>
        <v>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25"/>
    <col customWidth="1" min="2" max="2" width="4.5"/>
    <col customWidth="1" min="3" max="3" width="6.25"/>
    <col customWidth="1" min="4" max="4" width="5.38"/>
    <col customWidth="1" min="5" max="9" width="20.63"/>
    <col customWidth="1" min="10" max="14" width="20.75"/>
    <col customWidth="1" min="15" max="19" width="28.0"/>
    <col customWidth="1" min="20" max="24" width="14.75"/>
    <col customWidth="1" min="25" max="26" width="11.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108</v>
      </c>
      <c r="F1" s="11" t="s">
        <v>109</v>
      </c>
      <c r="G1" s="11" t="s">
        <v>110</v>
      </c>
      <c r="H1" s="11" t="s">
        <v>111</v>
      </c>
      <c r="I1" s="11" t="s">
        <v>112</v>
      </c>
      <c r="J1" s="11" t="s">
        <v>113</v>
      </c>
      <c r="K1" s="11" t="s">
        <v>114</v>
      </c>
      <c r="L1" s="11" t="s">
        <v>115</v>
      </c>
      <c r="M1" s="11" t="s">
        <v>116</v>
      </c>
      <c r="N1" s="11" t="s">
        <v>117</v>
      </c>
      <c r="O1" s="11" t="s">
        <v>118</v>
      </c>
      <c r="P1" s="11" t="s">
        <v>119</v>
      </c>
      <c r="Q1" s="11" t="s">
        <v>120</v>
      </c>
      <c r="R1" s="11" t="s">
        <v>121</v>
      </c>
      <c r="S1" s="11" t="s">
        <v>122</v>
      </c>
      <c r="T1" s="11" t="s">
        <v>123</v>
      </c>
      <c r="U1" s="11" t="s">
        <v>124</v>
      </c>
      <c r="V1" s="11" t="s">
        <v>125</v>
      </c>
      <c r="W1" s="11" t="s">
        <v>126</v>
      </c>
      <c r="X1" s="11" t="s">
        <v>127</v>
      </c>
      <c r="Y1" s="12"/>
      <c r="Z1" s="12"/>
    </row>
    <row r="2">
      <c r="A2" s="13">
        <v>44927.0</v>
      </c>
      <c r="B2" s="14">
        <v>2023.0</v>
      </c>
      <c r="C2" s="14">
        <v>1.0</v>
      </c>
      <c r="D2" s="14">
        <v>52.0</v>
      </c>
      <c r="E2" s="15">
        <v>410.0</v>
      </c>
      <c r="F2" s="15">
        <v>266.0</v>
      </c>
      <c r="G2" s="15">
        <v>412.0</v>
      </c>
      <c r="H2" s="15">
        <v>180.0</v>
      </c>
      <c r="I2" s="15">
        <v>189.0</v>
      </c>
      <c r="J2" s="16">
        <f t="shared" ref="J2:J105" si="2">(AVERAGEIFS($E$2:$E$105,$D$2:$D$105,D2))/$T$2</f>
        <v>0.7635180117</v>
      </c>
      <c r="K2" s="16">
        <f t="shared" ref="K2:K105" si="3">(AVERAGEIFS($F$2:$F$105,$D$2:$D$105,D2)/$U$2)</f>
        <v>1.105257522</v>
      </c>
      <c r="L2" s="16">
        <f t="shared" ref="L2:L105" si="4">(AVERAGEIFS($G$2:$G$105,$D$2:$D$105,D2)/$V$2)</f>
        <v>1.122926161</v>
      </c>
      <c r="M2" s="16">
        <f t="shared" ref="M2:M105" si="5">AVERAGEIFS($H$2:$H$105,$D$2:$D$105,D2)/$W$2</f>
        <v>1.235057179</v>
      </c>
      <c r="N2" s="16">
        <f t="shared" ref="N2:N105" si="6">AVERAGEIFS($I$2:$I$105,$D$2:$D$105,D2)/$X$2</f>
        <v>1.328685467</v>
      </c>
      <c r="O2" s="16">
        <f t="shared" ref="O2:O105" si="7">D2/J2</f>
        <v>68.10579345</v>
      </c>
      <c r="P2" s="16">
        <f t="shared" ref="P2:P105" si="8">D2/K2</f>
        <v>47.04785894</v>
      </c>
      <c r="Q2" s="16">
        <f t="shared" ref="Q2:Q105" si="9">D2/L2</f>
        <v>46.30758621</v>
      </c>
      <c r="R2" s="16">
        <f t="shared" ref="R2:R105" si="10">D2/N2</f>
        <v>39.13642565</v>
      </c>
      <c r="S2" s="16">
        <f t="shared" ref="S2:S105" si="11">D2/N2</f>
        <v>39.13642565</v>
      </c>
      <c r="T2" s="16">
        <f t="shared" ref="T2:X2" si="1">AVERAGE(E2:E105)</f>
        <v>519.9615385</v>
      </c>
      <c r="U2" s="16">
        <f t="shared" si="1"/>
        <v>359.1923077</v>
      </c>
      <c r="V2" s="16">
        <f t="shared" si="1"/>
        <v>322.8173077</v>
      </c>
      <c r="W2" s="16">
        <f t="shared" si="1"/>
        <v>207.6826923</v>
      </c>
      <c r="X2" s="16">
        <f t="shared" si="1"/>
        <v>275.8365385</v>
      </c>
      <c r="Y2" s="17"/>
      <c r="Z2" s="17"/>
    </row>
    <row r="3">
      <c r="A3" s="13">
        <v>44934.0</v>
      </c>
      <c r="B3" s="14">
        <v>2023.0</v>
      </c>
      <c r="C3" s="14">
        <v>1.0</v>
      </c>
      <c r="D3" s="14">
        <v>1.0</v>
      </c>
      <c r="E3" s="15">
        <v>356.0</v>
      </c>
      <c r="F3" s="15">
        <v>230.0</v>
      </c>
      <c r="G3" s="15">
        <v>249.0</v>
      </c>
      <c r="H3" s="15">
        <v>48.0</v>
      </c>
      <c r="I3" s="15">
        <v>160.0</v>
      </c>
      <c r="J3" s="16">
        <f t="shared" si="2"/>
        <v>0.8029440047</v>
      </c>
      <c r="K3" s="16">
        <f t="shared" si="3"/>
        <v>0.6862619124</v>
      </c>
      <c r="L3" s="16">
        <f t="shared" si="4"/>
        <v>0.9680397939</v>
      </c>
      <c r="M3" s="16">
        <f t="shared" si="5"/>
        <v>0.5681744525</v>
      </c>
      <c r="N3" s="16">
        <f t="shared" si="6"/>
        <v>0.7051277582</v>
      </c>
      <c r="O3" s="16">
        <f t="shared" si="7"/>
        <v>1.245416859</v>
      </c>
      <c r="P3" s="16">
        <f t="shared" si="8"/>
        <v>1.457169605</v>
      </c>
      <c r="Q3" s="16">
        <f t="shared" si="9"/>
        <v>1.033015385</v>
      </c>
      <c r="R3" s="16">
        <f t="shared" si="10"/>
        <v>1.418182717</v>
      </c>
      <c r="S3" s="16">
        <f t="shared" si="11"/>
        <v>1.418182717</v>
      </c>
      <c r="T3" s="17"/>
      <c r="U3" s="17"/>
      <c r="V3" s="17"/>
      <c r="W3" s="17"/>
      <c r="X3" s="17"/>
      <c r="Y3" s="17"/>
      <c r="Z3" s="17"/>
    </row>
    <row r="4">
      <c r="A4" s="13">
        <v>44941.0</v>
      </c>
      <c r="B4" s="14">
        <v>2023.0</v>
      </c>
      <c r="C4" s="14">
        <v>1.0</v>
      </c>
      <c r="D4" s="14">
        <v>2.0</v>
      </c>
      <c r="E4" s="15">
        <v>348.0</v>
      </c>
      <c r="F4" s="15">
        <v>364.0</v>
      </c>
      <c r="G4" s="15">
        <v>267.0</v>
      </c>
      <c r="H4" s="15">
        <v>132.0</v>
      </c>
      <c r="I4" s="15">
        <v>317.0</v>
      </c>
      <c r="J4" s="16">
        <f t="shared" si="2"/>
        <v>0.9250684222</v>
      </c>
      <c r="K4" s="16">
        <f t="shared" si="3"/>
        <v>0.6194453368</v>
      </c>
      <c r="L4" s="16">
        <f t="shared" si="4"/>
        <v>0.8208977452</v>
      </c>
      <c r="M4" s="16">
        <f t="shared" si="5"/>
        <v>0.650030094</v>
      </c>
      <c r="N4" s="16">
        <f t="shared" si="6"/>
        <v>0.9226478893</v>
      </c>
      <c r="O4" s="16">
        <f t="shared" si="7"/>
        <v>2.162002239</v>
      </c>
      <c r="P4" s="16">
        <f t="shared" si="8"/>
        <v>3.228694901</v>
      </c>
      <c r="Q4" s="16">
        <f t="shared" si="9"/>
        <v>2.436357039</v>
      </c>
      <c r="R4" s="16">
        <f t="shared" si="10"/>
        <v>2.167674173</v>
      </c>
      <c r="S4" s="16">
        <f t="shared" si="11"/>
        <v>2.167674173</v>
      </c>
      <c r="T4" s="17"/>
      <c r="U4" s="17"/>
      <c r="V4" s="17"/>
      <c r="W4" s="17"/>
      <c r="X4" s="17"/>
      <c r="Y4" s="17"/>
      <c r="Z4" s="17"/>
    </row>
    <row r="5">
      <c r="A5" s="13">
        <v>44948.0</v>
      </c>
      <c r="B5" s="14">
        <v>2023.0</v>
      </c>
      <c r="C5" s="14">
        <v>1.0</v>
      </c>
      <c r="D5" s="14">
        <v>3.0</v>
      </c>
      <c r="E5" s="15">
        <v>550.0</v>
      </c>
      <c r="F5" s="15">
        <v>212.0</v>
      </c>
      <c r="G5" s="15">
        <v>212.0</v>
      </c>
      <c r="H5" s="15">
        <v>237.0</v>
      </c>
      <c r="I5" s="15">
        <v>192.0</v>
      </c>
      <c r="J5" s="16">
        <f t="shared" si="2"/>
        <v>0.8346771211</v>
      </c>
      <c r="K5" s="16">
        <f t="shared" si="3"/>
        <v>0.569332905</v>
      </c>
      <c r="L5" s="16">
        <f t="shared" si="4"/>
        <v>0.8147022905</v>
      </c>
      <c r="M5" s="16">
        <f t="shared" si="5"/>
        <v>0.9774526598</v>
      </c>
      <c r="N5" s="16">
        <f t="shared" si="6"/>
        <v>0.4839822916</v>
      </c>
      <c r="O5" s="16">
        <f t="shared" si="7"/>
        <v>3.594204183</v>
      </c>
      <c r="P5" s="16">
        <f t="shared" si="8"/>
        <v>5.269324807</v>
      </c>
      <c r="Q5" s="16">
        <f t="shared" si="9"/>
        <v>3.682326704</v>
      </c>
      <c r="R5" s="16">
        <f t="shared" si="10"/>
        <v>6.198573898</v>
      </c>
      <c r="S5" s="16">
        <f t="shared" si="11"/>
        <v>6.198573898</v>
      </c>
      <c r="T5" s="17"/>
      <c r="U5" s="17"/>
      <c r="V5" s="17"/>
      <c r="W5" s="17"/>
      <c r="X5" s="17"/>
      <c r="Y5" s="17"/>
      <c r="Z5" s="17"/>
    </row>
    <row r="6">
      <c r="A6" s="13">
        <v>44955.0</v>
      </c>
      <c r="B6" s="14">
        <v>2023.0</v>
      </c>
      <c r="C6" s="14">
        <v>1.0</v>
      </c>
      <c r="D6" s="14">
        <v>4.0</v>
      </c>
      <c r="E6" s="15">
        <v>443.0</v>
      </c>
      <c r="F6" s="15">
        <v>311.0</v>
      </c>
      <c r="G6" s="15">
        <v>250.0</v>
      </c>
      <c r="H6" s="15">
        <v>185.0</v>
      </c>
      <c r="I6" s="15">
        <v>229.0</v>
      </c>
      <c r="J6" s="16">
        <f t="shared" si="2"/>
        <v>0.8317922923</v>
      </c>
      <c r="K6" s="16">
        <f t="shared" si="3"/>
        <v>0.8477353036</v>
      </c>
      <c r="L6" s="16">
        <f t="shared" si="4"/>
        <v>0.7775295624</v>
      </c>
      <c r="M6" s="16">
        <f t="shared" si="5"/>
        <v>1.049678226</v>
      </c>
      <c r="N6" s="16">
        <f t="shared" si="6"/>
        <v>0.8157004915</v>
      </c>
      <c r="O6" s="16">
        <f t="shared" si="7"/>
        <v>4.808892841</v>
      </c>
      <c r="P6" s="16">
        <f t="shared" si="8"/>
        <v>4.71845396</v>
      </c>
      <c r="Q6" s="16">
        <f t="shared" si="9"/>
        <v>5.144498927</v>
      </c>
      <c r="R6" s="16">
        <f t="shared" si="10"/>
        <v>4.903760684</v>
      </c>
      <c r="S6" s="16">
        <f t="shared" si="11"/>
        <v>4.903760684</v>
      </c>
      <c r="T6" s="17"/>
      <c r="U6" s="17"/>
      <c r="V6" s="17"/>
      <c r="W6" s="17"/>
      <c r="X6" s="17"/>
      <c r="Y6" s="17"/>
      <c r="Z6" s="17"/>
    </row>
    <row r="7">
      <c r="A7" s="13">
        <v>44962.0</v>
      </c>
      <c r="B7" s="14">
        <v>2023.0</v>
      </c>
      <c r="C7" s="14">
        <v>2.0</v>
      </c>
      <c r="D7" s="14">
        <v>5.0</v>
      </c>
      <c r="E7" s="15">
        <v>761.0</v>
      </c>
      <c r="F7" s="15">
        <v>339.0</v>
      </c>
      <c r="G7" s="15">
        <v>346.0</v>
      </c>
      <c r="H7" s="15">
        <v>193.0</v>
      </c>
      <c r="I7" s="15">
        <v>230.0</v>
      </c>
      <c r="J7" s="16">
        <f t="shared" si="2"/>
        <v>1.121236778</v>
      </c>
      <c r="K7" s="16">
        <f t="shared" si="3"/>
        <v>0.960488275</v>
      </c>
      <c r="L7" s="16">
        <f t="shared" si="4"/>
        <v>1.060971614</v>
      </c>
      <c r="M7" s="16">
        <f t="shared" si="5"/>
        <v>0.5681744525</v>
      </c>
      <c r="N7" s="16">
        <f t="shared" si="6"/>
        <v>0.7866978074</v>
      </c>
      <c r="O7" s="16">
        <f t="shared" si="7"/>
        <v>4.459361393</v>
      </c>
      <c r="P7" s="16">
        <f t="shared" si="8"/>
        <v>5.205685619</v>
      </c>
      <c r="Q7" s="16">
        <f t="shared" si="9"/>
        <v>4.712661426</v>
      </c>
      <c r="R7" s="16">
        <f t="shared" si="10"/>
        <v>6.35568061</v>
      </c>
      <c r="S7" s="16">
        <f t="shared" si="11"/>
        <v>6.35568061</v>
      </c>
      <c r="T7" s="17"/>
      <c r="U7" s="17"/>
      <c r="V7" s="17"/>
      <c r="W7" s="17"/>
      <c r="X7" s="17"/>
      <c r="Y7" s="17"/>
      <c r="Z7" s="17"/>
    </row>
    <row r="8">
      <c r="A8" s="13">
        <v>44969.0</v>
      </c>
      <c r="B8" s="14">
        <v>2023.0</v>
      </c>
      <c r="C8" s="14">
        <v>2.0</v>
      </c>
      <c r="D8" s="14">
        <v>6.0</v>
      </c>
      <c r="E8" s="15">
        <v>553.0</v>
      </c>
      <c r="F8" s="15">
        <v>296.0</v>
      </c>
      <c r="G8" s="15">
        <v>320.0</v>
      </c>
      <c r="H8" s="15">
        <v>200.0</v>
      </c>
      <c r="I8" s="15">
        <v>216.0</v>
      </c>
      <c r="J8" s="16">
        <f t="shared" si="2"/>
        <v>1.001997189</v>
      </c>
      <c r="K8" s="16">
        <f t="shared" si="3"/>
        <v>0.8296391477</v>
      </c>
      <c r="L8" s="16">
        <f t="shared" si="4"/>
        <v>0.8859500194</v>
      </c>
      <c r="M8" s="16">
        <f t="shared" si="5"/>
        <v>1.04004815</v>
      </c>
      <c r="N8" s="16">
        <f t="shared" si="6"/>
        <v>0.9516505734</v>
      </c>
      <c r="O8" s="16">
        <f t="shared" si="7"/>
        <v>5.98804075</v>
      </c>
      <c r="P8" s="16">
        <f t="shared" si="8"/>
        <v>7.232059886</v>
      </c>
      <c r="Q8" s="16">
        <f t="shared" si="9"/>
        <v>6.77239107</v>
      </c>
      <c r="R8" s="16">
        <f t="shared" si="10"/>
        <v>6.304835165</v>
      </c>
      <c r="S8" s="16">
        <f t="shared" si="11"/>
        <v>6.304835165</v>
      </c>
      <c r="T8" s="17"/>
      <c r="U8" s="17"/>
      <c r="V8" s="17"/>
      <c r="W8" s="17"/>
      <c r="X8" s="17"/>
      <c r="Y8" s="17"/>
      <c r="Z8" s="17"/>
    </row>
    <row r="9">
      <c r="A9" s="13">
        <v>44976.0</v>
      </c>
      <c r="B9" s="14">
        <v>2023.0</v>
      </c>
      <c r="C9" s="14">
        <v>2.0</v>
      </c>
      <c r="D9" s="14">
        <v>7.0</v>
      </c>
      <c r="E9" s="15">
        <v>430.0</v>
      </c>
      <c r="F9" s="15">
        <v>322.0</v>
      </c>
      <c r="G9" s="15">
        <v>380.0</v>
      </c>
      <c r="H9" s="15">
        <v>186.0</v>
      </c>
      <c r="I9" s="15">
        <v>256.0</v>
      </c>
      <c r="J9" s="16">
        <f t="shared" si="2"/>
        <v>0.9192987647</v>
      </c>
      <c r="K9" s="16">
        <f t="shared" si="3"/>
        <v>1.101081486</v>
      </c>
      <c r="L9" s="16">
        <f t="shared" si="4"/>
        <v>1.222053436</v>
      </c>
      <c r="M9" s="16">
        <f t="shared" si="5"/>
        <v>0.9293022825</v>
      </c>
      <c r="N9" s="16">
        <f t="shared" si="6"/>
        <v>1.045909297</v>
      </c>
      <c r="O9" s="16">
        <f t="shared" si="7"/>
        <v>7.614499517</v>
      </c>
      <c r="P9" s="16">
        <f t="shared" si="8"/>
        <v>6.357385977</v>
      </c>
      <c r="Q9" s="16">
        <f t="shared" si="9"/>
        <v>5.728063761</v>
      </c>
      <c r="R9" s="16">
        <f t="shared" si="10"/>
        <v>6.692740968</v>
      </c>
      <c r="S9" s="16">
        <f t="shared" si="11"/>
        <v>6.692740968</v>
      </c>
      <c r="T9" s="17"/>
      <c r="U9" s="17"/>
      <c r="V9" s="17"/>
      <c r="W9" s="17"/>
      <c r="X9" s="17"/>
      <c r="Y9" s="17"/>
      <c r="Z9" s="17"/>
    </row>
    <row r="10">
      <c r="A10" s="13">
        <v>44983.0</v>
      </c>
      <c r="B10" s="14">
        <v>2023.0</v>
      </c>
      <c r="C10" s="14">
        <v>2.0</v>
      </c>
      <c r="D10" s="14">
        <v>8.0</v>
      </c>
      <c r="E10" s="15">
        <v>96.0</v>
      </c>
      <c r="F10" s="15">
        <v>321.0</v>
      </c>
      <c r="G10" s="15">
        <v>383.0</v>
      </c>
      <c r="H10" s="15">
        <v>200.0</v>
      </c>
      <c r="I10" s="15">
        <v>283.0</v>
      </c>
      <c r="J10" s="16">
        <f t="shared" si="2"/>
        <v>0.5942747245</v>
      </c>
      <c r="K10" s="16">
        <f t="shared" si="3"/>
        <v>0.9869365028</v>
      </c>
      <c r="L10" s="16">
        <f t="shared" si="4"/>
        <v>1.047031841</v>
      </c>
      <c r="M10" s="16">
        <f t="shared" si="5"/>
        <v>1.011157924</v>
      </c>
      <c r="N10" s="16">
        <f t="shared" si="6"/>
        <v>1.011468609</v>
      </c>
      <c r="O10" s="16">
        <f t="shared" si="7"/>
        <v>13.4617874</v>
      </c>
      <c r="P10" s="16">
        <f t="shared" si="8"/>
        <v>8.105891288</v>
      </c>
      <c r="Q10" s="16">
        <f t="shared" si="9"/>
        <v>7.640646336</v>
      </c>
      <c r="R10" s="16">
        <f t="shared" si="10"/>
        <v>7.909291425</v>
      </c>
      <c r="S10" s="16">
        <f t="shared" si="11"/>
        <v>7.909291425</v>
      </c>
      <c r="T10" s="17"/>
      <c r="U10" s="17"/>
      <c r="V10" s="17"/>
      <c r="W10" s="17"/>
      <c r="X10" s="17"/>
      <c r="Y10" s="17"/>
      <c r="Z10" s="17"/>
    </row>
    <row r="11">
      <c r="A11" s="13">
        <v>44990.0</v>
      </c>
      <c r="B11" s="14">
        <v>2023.0</v>
      </c>
      <c r="C11" s="14">
        <v>3.0</v>
      </c>
      <c r="D11" s="14">
        <v>9.0</v>
      </c>
      <c r="E11" s="15">
        <v>505.0</v>
      </c>
      <c r="F11" s="15">
        <v>491.0</v>
      </c>
      <c r="G11" s="15">
        <v>375.0</v>
      </c>
      <c r="H11" s="15">
        <v>58.0</v>
      </c>
      <c r="I11" s="15">
        <v>223.0</v>
      </c>
      <c r="J11" s="16">
        <f t="shared" si="2"/>
        <v>1.018344552</v>
      </c>
      <c r="K11" s="16">
        <f t="shared" si="3"/>
        <v>1.185994218</v>
      </c>
      <c r="L11" s="16">
        <f t="shared" si="4"/>
        <v>0.7217704703</v>
      </c>
      <c r="M11" s="16">
        <f t="shared" si="5"/>
        <v>0.5440992639</v>
      </c>
      <c r="N11" s="16">
        <f t="shared" si="6"/>
        <v>0.9371492314</v>
      </c>
      <c r="O11" s="16">
        <f t="shared" si="7"/>
        <v>8.837873175</v>
      </c>
      <c r="P11" s="16">
        <f t="shared" si="8"/>
        <v>7.588569881</v>
      </c>
      <c r="Q11" s="16">
        <f t="shared" si="9"/>
        <v>12.46933807</v>
      </c>
      <c r="R11" s="16">
        <f t="shared" si="10"/>
        <v>9.603593215</v>
      </c>
      <c r="S11" s="16">
        <f t="shared" si="11"/>
        <v>9.603593215</v>
      </c>
      <c r="T11" s="17"/>
      <c r="U11" s="17"/>
      <c r="V11" s="17"/>
      <c r="W11" s="17"/>
      <c r="X11" s="17"/>
      <c r="Y11" s="17"/>
      <c r="Z11" s="17"/>
    </row>
    <row r="12">
      <c r="A12" s="13">
        <v>44997.0</v>
      </c>
      <c r="B12" s="14">
        <v>2023.0</v>
      </c>
      <c r="C12" s="14">
        <v>3.0</v>
      </c>
      <c r="D12" s="14">
        <v>10.0</v>
      </c>
      <c r="E12" s="15">
        <v>382.0</v>
      </c>
      <c r="F12" s="15">
        <v>346.0</v>
      </c>
      <c r="G12" s="15">
        <v>249.0</v>
      </c>
      <c r="H12" s="15">
        <v>182.0</v>
      </c>
      <c r="I12" s="15">
        <v>250.0</v>
      </c>
      <c r="J12" s="16">
        <f t="shared" si="2"/>
        <v>0.827945854</v>
      </c>
      <c r="K12" s="16">
        <f t="shared" si="3"/>
        <v>1.14562587</v>
      </c>
      <c r="L12" s="16">
        <f t="shared" si="4"/>
        <v>0.9881750216</v>
      </c>
      <c r="M12" s="16">
        <f t="shared" si="5"/>
        <v>0.9004120561</v>
      </c>
      <c r="N12" s="16">
        <f t="shared" si="6"/>
        <v>0.9008958762</v>
      </c>
      <c r="O12" s="16">
        <f t="shared" si="7"/>
        <v>12.07808452</v>
      </c>
      <c r="P12" s="16">
        <f t="shared" si="8"/>
        <v>8.728853164</v>
      </c>
      <c r="Q12" s="16">
        <f t="shared" si="9"/>
        <v>10.11966482</v>
      </c>
      <c r="R12" s="16">
        <f t="shared" si="10"/>
        <v>11.10006191</v>
      </c>
      <c r="S12" s="16">
        <f t="shared" si="11"/>
        <v>11.10006191</v>
      </c>
      <c r="T12" s="17"/>
      <c r="U12" s="17"/>
      <c r="V12" s="17"/>
      <c r="W12" s="17"/>
      <c r="X12" s="17"/>
      <c r="Y12" s="17"/>
      <c r="Z12" s="17"/>
    </row>
    <row r="13">
      <c r="A13" s="13">
        <v>45004.0</v>
      </c>
      <c r="B13" s="14">
        <v>2023.0</v>
      </c>
      <c r="C13" s="14">
        <v>3.0</v>
      </c>
      <c r="D13" s="14">
        <v>11.0</v>
      </c>
      <c r="E13" s="15">
        <v>761.0</v>
      </c>
      <c r="F13" s="15">
        <v>336.0</v>
      </c>
      <c r="G13" s="15">
        <v>316.0</v>
      </c>
      <c r="H13" s="15">
        <v>199.0</v>
      </c>
      <c r="I13" s="15">
        <v>255.0</v>
      </c>
      <c r="J13" s="16">
        <f t="shared" si="2"/>
        <v>1.160662771</v>
      </c>
      <c r="K13" s="16">
        <f t="shared" si="3"/>
        <v>0.6138772888</v>
      </c>
      <c r="L13" s="16">
        <f t="shared" si="4"/>
        <v>0.6458761505</v>
      </c>
      <c r="M13" s="16">
        <f t="shared" si="5"/>
        <v>0.9702301032</v>
      </c>
      <c r="N13" s="16">
        <f t="shared" si="6"/>
        <v>0.9969672674</v>
      </c>
      <c r="O13" s="16">
        <f t="shared" si="7"/>
        <v>9.4773437</v>
      </c>
      <c r="P13" s="16">
        <f t="shared" si="8"/>
        <v>17.91889063</v>
      </c>
      <c r="Q13" s="16">
        <f t="shared" si="9"/>
        <v>17.03112894</v>
      </c>
      <c r="R13" s="16">
        <f t="shared" si="10"/>
        <v>11.03346154</v>
      </c>
      <c r="S13" s="16">
        <f t="shared" si="11"/>
        <v>11.03346154</v>
      </c>
      <c r="T13" s="17"/>
      <c r="U13" s="17"/>
      <c r="V13" s="17"/>
      <c r="W13" s="17"/>
      <c r="X13" s="17"/>
      <c r="Y13" s="17"/>
      <c r="Z13" s="17"/>
    </row>
    <row r="14">
      <c r="A14" s="13">
        <v>45011.0</v>
      </c>
      <c r="B14" s="14">
        <v>2023.0</v>
      </c>
      <c r="C14" s="14">
        <v>3.0</v>
      </c>
      <c r="D14" s="14">
        <v>12.0</v>
      </c>
      <c r="E14" s="15">
        <v>665.0</v>
      </c>
      <c r="F14" s="15">
        <v>289.0</v>
      </c>
      <c r="G14" s="15">
        <v>232.0</v>
      </c>
      <c r="H14" s="15">
        <v>211.0</v>
      </c>
      <c r="I14" s="15">
        <v>277.0</v>
      </c>
      <c r="J14" s="16">
        <f t="shared" si="2"/>
        <v>1.063540203</v>
      </c>
      <c r="K14" s="16">
        <f t="shared" si="3"/>
        <v>0.9758004069</v>
      </c>
      <c r="L14" s="16">
        <f t="shared" si="4"/>
        <v>0.7899204718</v>
      </c>
      <c r="M14" s="16">
        <f t="shared" si="5"/>
        <v>1.100236122</v>
      </c>
      <c r="N14" s="16">
        <f t="shared" si="6"/>
        <v>0.8700805243</v>
      </c>
      <c r="O14" s="16">
        <f t="shared" si="7"/>
        <v>11.28307136</v>
      </c>
      <c r="P14" s="16">
        <f t="shared" si="8"/>
        <v>12.29759684</v>
      </c>
      <c r="Q14" s="16">
        <f t="shared" si="9"/>
        <v>15.19140271</v>
      </c>
      <c r="R14" s="16">
        <f t="shared" si="10"/>
        <v>13.79182692</v>
      </c>
      <c r="S14" s="16">
        <f t="shared" si="11"/>
        <v>13.79182692</v>
      </c>
      <c r="T14" s="17"/>
      <c r="U14" s="17"/>
      <c r="V14" s="17"/>
      <c r="W14" s="17"/>
      <c r="X14" s="17"/>
      <c r="Y14" s="17"/>
      <c r="Z14" s="17"/>
    </row>
    <row r="15">
      <c r="A15" s="13">
        <v>45018.0</v>
      </c>
      <c r="B15" s="14">
        <v>2023.0</v>
      </c>
      <c r="C15" s="14">
        <v>4.0</v>
      </c>
      <c r="D15" s="14">
        <v>13.0</v>
      </c>
      <c r="E15" s="15">
        <v>677.0</v>
      </c>
      <c r="F15" s="15">
        <v>280.0</v>
      </c>
      <c r="G15" s="15">
        <v>248.0</v>
      </c>
      <c r="H15" s="15">
        <v>192.0</v>
      </c>
      <c r="I15" s="15">
        <v>296.0</v>
      </c>
      <c r="J15" s="16">
        <f t="shared" si="2"/>
        <v>0.8173681485</v>
      </c>
      <c r="K15" s="16">
        <f t="shared" si="3"/>
        <v>0.8616554235</v>
      </c>
      <c r="L15" s="16">
        <f t="shared" si="4"/>
        <v>0.8611682006</v>
      </c>
      <c r="M15" s="16">
        <f t="shared" si="5"/>
        <v>1.020787999</v>
      </c>
      <c r="N15" s="16">
        <f t="shared" si="6"/>
        <v>0.9842785931</v>
      </c>
      <c r="O15" s="16">
        <f t="shared" si="7"/>
        <v>15.90470588</v>
      </c>
      <c r="P15" s="16">
        <f t="shared" si="8"/>
        <v>15.08723748</v>
      </c>
      <c r="Q15" s="16">
        <f t="shared" si="9"/>
        <v>15.09577338</v>
      </c>
      <c r="R15" s="16">
        <f t="shared" si="10"/>
        <v>13.20764273</v>
      </c>
      <c r="S15" s="16">
        <f t="shared" si="11"/>
        <v>13.20764273</v>
      </c>
      <c r="T15" s="17"/>
      <c r="U15" s="17"/>
      <c r="V15" s="17"/>
      <c r="W15" s="17"/>
      <c r="X15" s="17"/>
      <c r="Y15" s="17"/>
      <c r="Z15" s="17"/>
    </row>
    <row r="16">
      <c r="A16" s="13">
        <v>45025.0</v>
      </c>
      <c r="B16" s="14">
        <v>2023.0</v>
      </c>
      <c r="C16" s="14">
        <v>4.0</v>
      </c>
      <c r="D16" s="14">
        <v>14.0</v>
      </c>
      <c r="E16" s="15">
        <v>383.0</v>
      </c>
      <c r="F16" s="15">
        <v>347.0</v>
      </c>
      <c r="G16" s="15">
        <v>304.0</v>
      </c>
      <c r="H16" s="15">
        <v>190.0</v>
      </c>
      <c r="I16" s="15">
        <v>227.0</v>
      </c>
      <c r="J16" s="16">
        <f t="shared" si="2"/>
        <v>0.8404467786</v>
      </c>
      <c r="K16" s="16">
        <f t="shared" si="3"/>
        <v>0.9925045508</v>
      </c>
      <c r="L16" s="16">
        <f t="shared" si="4"/>
        <v>0.8890477467</v>
      </c>
      <c r="M16" s="16">
        <f t="shared" si="5"/>
        <v>1.080975971</v>
      </c>
      <c r="N16" s="16">
        <f t="shared" si="6"/>
        <v>0.9734025865</v>
      </c>
      <c r="O16" s="16">
        <f t="shared" si="7"/>
        <v>16.65780672</v>
      </c>
      <c r="P16" s="16">
        <f t="shared" si="8"/>
        <v>14.10572877</v>
      </c>
      <c r="Q16" s="16">
        <f t="shared" si="9"/>
        <v>15.74718574</v>
      </c>
      <c r="R16" s="16">
        <f t="shared" si="10"/>
        <v>14.38253832</v>
      </c>
      <c r="S16" s="16">
        <f t="shared" si="11"/>
        <v>14.38253832</v>
      </c>
      <c r="T16" s="17"/>
      <c r="U16" s="17"/>
      <c r="V16" s="17"/>
      <c r="W16" s="17"/>
      <c r="X16" s="17"/>
      <c r="Y16" s="17"/>
      <c r="Z16" s="17"/>
    </row>
    <row r="17">
      <c r="A17" s="13">
        <v>45032.0</v>
      </c>
      <c r="B17" s="14">
        <v>2023.0</v>
      </c>
      <c r="C17" s="14">
        <v>4.0</v>
      </c>
      <c r="D17" s="14">
        <v>15.0</v>
      </c>
      <c r="E17" s="15">
        <v>515.0</v>
      </c>
      <c r="F17" s="15">
        <v>281.0</v>
      </c>
      <c r="G17" s="15">
        <v>407.0</v>
      </c>
      <c r="H17" s="15">
        <v>203.0</v>
      </c>
      <c r="I17" s="15">
        <v>264.0</v>
      </c>
      <c r="J17" s="16">
        <f t="shared" si="2"/>
        <v>0.9173755455</v>
      </c>
      <c r="K17" s="16">
        <f t="shared" si="3"/>
        <v>0.8797515794</v>
      </c>
      <c r="L17" s="16">
        <f t="shared" si="4"/>
        <v>1.130670479</v>
      </c>
      <c r="M17" s="16">
        <f t="shared" si="5"/>
        <v>0.9317098014</v>
      </c>
      <c r="N17" s="16">
        <f t="shared" si="6"/>
        <v>0.9153972183</v>
      </c>
      <c r="O17" s="16">
        <f t="shared" si="7"/>
        <v>16.35099178</v>
      </c>
      <c r="P17" s="16">
        <f t="shared" si="8"/>
        <v>17.05026777</v>
      </c>
      <c r="Q17" s="16">
        <f t="shared" si="9"/>
        <v>13.2664647</v>
      </c>
      <c r="R17" s="16">
        <f t="shared" si="10"/>
        <v>16.38632902</v>
      </c>
      <c r="S17" s="16">
        <f t="shared" si="11"/>
        <v>16.38632902</v>
      </c>
      <c r="T17" s="17"/>
      <c r="U17" s="17"/>
      <c r="V17" s="17"/>
      <c r="W17" s="17"/>
      <c r="X17" s="17"/>
      <c r="Y17" s="17"/>
      <c r="Z17" s="17"/>
    </row>
    <row r="18">
      <c r="A18" s="13">
        <v>45039.0</v>
      </c>
      <c r="B18" s="14">
        <v>2023.0</v>
      </c>
      <c r="C18" s="14">
        <v>4.0</v>
      </c>
      <c r="D18" s="14">
        <v>16.0</v>
      </c>
      <c r="E18" s="15">
        <v>492.0</v>
      </c>
      <c r="F18" s="15">
        <v>350.0</v>
      </c>
      <c r="G18" s="15">
        <v>308.0</v>
      </c>
      <c r="H18" s="15">
        <v>225.0</v>
      </c>
      <c r="I18" s="15">
        <v>64.0</v>
      </c>
      <c r="J18" s="16">
        <f t="shared" si="2"/>
        <v>1.183741401</v>
      </c>
      <c r="K18" s="16">
        <f t="shared" si="3"/>
        <v>1.105257522</v>
      </c>
      <c r="L18" s="16">
        <f t="shared" si="4"/>
        <v>1.121377297</v>
      </c>
      <c r="M18" s="16">
        <f t="shared" si="5"/>
        <v>1.160424094</v>
      </c>
      <c r="N18" s="16">
        <f t="shared" si="6"/>
        <v>0.5782410151</v>
      </c>
      <c r="O18" s="16">
        <f t="shared" si="7"/>
        <v>13.51646566</v>
      </c>
      <c r="P18" s="16">
        <f t="shared" si="8"/>
        <v>14.47626429</v>
      </c>
      <c r="Q18" s="16">
        <f t="shared" si="9"/>
        <v>14.2681683</v>
      </c>
      <c r="R18" s="16">
        <f t="shared" si="10"/>
        <v>27.67012298</v>
      </c>
      <c r="S18" s="16">
        <f t="shared" si="11"/>
        <v>27.67012298</v>
      </c>
      <c r="T18" s="17"/>
      <c r="U18" s="17"/>
      <c r="V18" s="17"/>
      <c r="W18" s="17"/>
      <c r="X18" s="17"/>
      <c r="Y18" s="17"/>
      <c r="Z18" s="17"/>
    </row>
    <row r="19">
      <c r="A19" s="13">
        <v>45046.0</v>
      </c>
      <c r="B19" s="14">
        <v>2023.0</v>
      </c>
      <c r="C19" s="14">
        <v>4.0</v>
      </c>
      <c r="D19" s="14">
        <v>17.0</v>
      </c>
      <c r="E19" s="15">
        <v>441.0</v>
      </c>
      <c r="F19" s="15">
        <v>150.0</v>
      </c>
      <c r="G19" s="15">
        <v>215.0</v>
      </c>
      <c r="H19" s="15">
        <v>195.0</v>
      </c>
      <c r="I19" s="15">
        <v>204.0</v>
      </c>
      <c r="J19" s="16">
        <f t="shared" si="2"/>
        <v>0.9683408536</v>
      </c>
      <c r="K19" s="16">
        <f t="shared" si="3"/>
        <v>0.7335903202</v>
      </c>
      <c r="L19" s="16">
        <f t="shared" si="4"/>
        <v>0.9246716111</v>
      </c>
      <c r="M19" s="16">
        <f t="shared" si="5"/>
        <v>1.018380481</v>
      </c>
      <c r="N19" s="16">
        <f t="shared" si="6"/>
        <v>0.8700805243</v>
      </c>
      <c r="O19" s="16">
        <f t="shared" si="7"/>
        <v>17.5558017</v>
      </c>
      <c r="P19" s="16">
        <f t="shared" si="8"/>
        <v>23.17369727</v>
      </c>
      <c r="Q19" s="16">
        <f t="shared" si="9"/>
        <v>18.3849053</v>
      </c>
      <c r="R19" s="16">
        <f t="shared" si="10"/>
        <v>19.53842147</v>
      </c>
      <c r="S19" s="16">
        <f t="shared" si="11"/>
        <v>19.53842147</v>
      </c>
      <c r="T19" s="17"/>
      <c r="U19" s="17"/>
      <c r="V19" s="17"/>
      <c r="W19" s="17"/>
      <c r="X19" s="17"/>
      <c r="Y19" s="17"/>
      <c r="Z19" s="17"/>
    </row>
    <row r="20">
      <c r="A20" s="13">
        <v>45053.0</v>
      </c>
      <c r="B20" s="14">
        <v>2023.0</v>
      </c>
      <c r="C20" s="14">
        <v>5.0</v>
      </c>
      <c r="D20" s="14">
        <v>18.0</v>
      </c>
      <c r="E20" s="15">
        <v>461.0</v>
      </c>
      <c r="F20" s="15">
        <v>293.0</v>
      </c>
      <c r="G20" s="15">
        <v>198.0</v>
      </c>
      <c r="H20" s="15">
        <v>198.0</v>
      </c>
      <c r="I20" s="15">
        <v>262.0</v>
      </c>
      <c r="J20" s="16">
        <f t="shared" si="2"/>
        <v>0.8942969155</v>
      </c>
      <c r="K20" s="16">
        <f t="shared" si="3"/>
        <v>0.8936716993</v>
      </c>
      <c r="L20" s="16">
        <f t="shared" si="4"/>
        <v>0.9587466119</v>
      </c>
      <c r="M20" s="16">
        <f t="shared" si="5"/>
        <v>1.059308301</v>
      </c>
      <c r="N20" s="16">
        <f t="shared" si="6"/>
        <v>0.8447031757</v>
      </c>
      <c r="O20" s="16">
        <f t="shared" si="7"/>
        <v>20.12754342</v>
      </c>
      <c r="P20" s="16">
        <f t="shared" si="8"/>
        <v>20.14162473</v>
      </c>
      <c r="Q20" s="16">
        <f t="shared" si="9"/>
        <v>18.77451224</v>
      </c>
      <c r="R20" s="16">
        <f t="shared" si="10"/>
        <v>21.30926048</v>
      </c>
      <c r="S20" s="16">
        <f t="shared" si="11"/>
        <v>21.30926048</v>
      </c>
      <c r="T20" s="17"/>
      <c r="U20" s="17"/>
      <c r="V20" s="17"/>
      <c r="W20" s="17"/>
      <c r="X20" s="17"/>
      <c r="Y20" s="17"/>
      <c r="Z20" s="17"/>
    </row>
    <row r="21">
      <c r="A21" s="13">
        <v>45060.0</v>
      </c>
      <c r="B21" s="14">
        <v>2023.0</v>
      </c>
      <c r="C21" s="14">
        <v>5.0</v>
      </c>
      <c r="D21" s="14">
        <v>19.0</v>
      </c>
      <c r="E21" s="15">
        <v>518.0</v>
      </c>
      <c r="F21" s="15">
        <v>412.0</v>
      </c>
      <c r="G21" s="15">
        <v>302.0</v>
      </c>
      <c r="H21" s="15">
        <v>255.0</v>
      </c>
      <c r="I21" s="15">
        <v>282.0</v>
      </c>
      <c r="J21" s="16">
        <f t="shared" si="2"/>
        <v>1.012574895</v>
      </c>
      <c r="K21" s="16">
        <f t="shared" si="3"/>
        <v>1.067673198</v>
      </c>
      <c r="L21" s="16">
        <f t="shared" si="4"/>
        <v>1.040836386</v>
      </c>
      <c r="M21" s="16">
        <f t="shared" si="5"/>
        <v>1.068938377</v>
      </c>
      <c r="N21" s="16">
        <f t="shared" si="6"/>
        <v>1.181859379</v>
      </c>
      <c r="O21" s="16">
        <f t="shared" si="7"/>
        <v>18.76404412</v>
      </c>
      <c r="P21" s="16">
        <f t="shared" si="8"/>
        <v>17.79570755</v>
      </c>
      <c r="Q21" s="16">
        <f t="shared" si="9"/>
        <v>18.25455014</v>
      </c>
      <c r="R21" s="16">
        <f t="shared" si="10"/>
        <v>16.07636267</v>
      </c>
      <c r="S21" s="16">
        <f t="shared" si="11"/>
        <v>16.07636267</v>
      </c>
      <c r="T21" s="17"/>
      <c r="U21" s="17"/>
      <c r="V21" s="17"/>
      <c r="W21" s="17"/>
      <c r="X21" s="17"/>
      <c r="Y21" s="17"/>
      <c r="Z21" s="17"/>
    </row>
    <row r="22">
      <c r="A22" s="13">
        <v>45067.0</v>
      </c>
      <c r="B22" s="14">
        <v>2023.0</v>
      </c>
      <c r="C22" s="14">
        <v>5.0</v>
      </c>
      <c r="D22" s="14">
        <v>20.0</v>
      </c>
      <c r="E22" s="15">
        <v>489.0</v>
      </c>
      <c r="F22" s="15">
        <v>364.0</v>
      </c>
      <c r="G22" s="15">
        <v>274.0</v>
      </c>
      <c r="H22" s="15">
        <v>47.0</v>
      </c>
      <c r="I22" s="15">
        <v>297.0</v>
      </c>
      <c r="J22" s="16">
        <f t="shared" si="2"/>
        <v>1.235668319</v>
      </c>
      <c r="K22" s="16">
        <f t="shared" si="3"/>
        <v>0.8741835314</v>
      </c>
      <c r="L22" s="16">
        <f t="shared" si="4"/>
        <v>0.5513954666</v>
      </c>
      <c r="M22" s="16">
        <f t="shared" si="5"/>
        <v>0.8378165656</v>
      </c>
      <c r="N22" s="16">
        <f t="shared" si="6"/>
        <v>1.112978004</v>
      </c>
      <c r="O22" s="16">
        <f t="shared" si="7"/>
        <v>16.18557318</v>
      </c>
      <c r="P22" s="16">
        <f t="shared" si="8"/>
        <v>22.87849094</v>
      </c>
      <c r="Q22" s="16">
        <f t="shared" si="9"/>
        <v>36.27160761</v>
      </c>
      <c r="R22" s="16">
        <f t="shared" si="10"/>
        <v>17.96980707</v>
      </c>
      <c r="S22" s="16">
        <f t="shared" si="11"/>
        <v>17.96980707</v>
      </c>
      <c r="T22" s="17"/>
      <c r="U22" s="17"/>
      <c r="V22" s="17"/>
      <c r="W22" s="17"/>
      <c r="X22" s="17"/>
      <c r="Y22" s="17"/>
      <c r="Z22" s="17"/>
    </row>
    <row r="23">
      <c r="A23" s="13">
        <v>45074.0</v>
      </c>
      <c r="B23" s="14">
        <v>2023.0</v>
      </c>
      <c r="C23" s="14">
        <v>5.0</v>
      </c>
      <c r="D23" s="14">
        <v>21.0</v>
      </c>
      <c r="E23" s="15">
        <v>360.0</v>
      </c>
      <c r="F23" s="15">
        <v>471.0</v>
      </c>
      <c r="G23" s="15">
        <v>260.0</v>
      </c>
      <c r="H23" s="15">
        <v>240.0</v>
      </c>
      <c r="I23" s="15">
        <v>199.0</v>
      </c>
      <c r="J23" s="16">
        <f t="shared" si="2"/>
        <v>0.8058288335</v>
      </c>
      <c r="K23" s="16">
        <f t="shared" si="3"/>
        <v>1.028696863</v>
      </c>
      <c r="L23" s="16">
        <f t="shared" si="4"/>
        <v>0.714026152</v>
      </c>
      <c r="M23" s="16">
        <f t="shared" si="5"/>
        <v>1.085791009</v>
      </c>
      <c r="N23" s="16">
        <f t="shared" si="6"/>
        <v>0.7866978074</v>
      </c>
      <c r="O23" s="16">
        <f t="shared" si="7"/>
        <v>26.06012484</v>
      </c>
      <c r="P23" s="16">
        <f t="shared" si="8"/>
        <v>20.41417716</v>
      </c>
      <c r="Q23" s="16">
        <f t="shared" si="9"/>
        <v>29.41068747</v>
      </c>
      <c r="R23" s="16">
        <f t="shared" si="10"/>
        <v>26.69385856</v>
      </c>
      <c r="S23" s="16">
        <f t="shared" si="11"/>
        <v>26.69385856</v>
      </c>
      <c r="T23" s="17"/>
      <c r="U23" s="17"/>
      <c r="V23" s="17"/>
      <c r="W23" s="17"/>
      <c r="X23" s="17"/>
      <c r="Y23" s="17"/>
      <c r="Z23" s="17"/>
    </row>
    <row r="24">
      <c r="A24" s="13">
        <v>45081.0</v>
      </c>
      <c r="B24" s="14">
        <v>2023.0</v>
      </c>
      <c r="C24" s="14">
        <v>6.0</v>
      </c>
      <c r="D24" s="14">
        <v>22.0</v>
      </c>
      <c r="E24" s="15">
        <v>603.0</v>
      </c>
      <c r="F24" s="15">
        <v>79.0</v>
      </c>
      <c r="G24" s="15">
        <v>328.0</v>
      </c>
      <c r="H24" s="15">
        <v>197.0</v>
      </c>
      <c r="I24" s="15">
        <v>247.0</v>
      </c>
      <c r="J24" s="16">
        <f t="shared" si="2"/>
        <v>1.038538353</v>
      </c>
      <c r="K24" s="16">
        <f t="shared" si="3"/>
        <v>0.5331405932</v>
      </c>
      <c r="L24" s="16">
        <f t="shared" si="4"/>
        <v>0.9231227474</v>
      </c>
      <c r="M24" s="16">
        <f t="shared" si="5"/>
        <v>0.6115097921</v>
      </c>
      <c r="N24" s="16">
        <f t="shared" si="6"/>
        <v>0.7885104751</v>
      </c>
      <c r="O24" s="16">
        <f t="shared" si="7"/>
        <v>21.18361823</v>
      </c>
      <c r="P24" s="16">
        <f t="shared" si="8"/>
        <v>41.26491263</v>
      </c>
      <c r="Q24" s="16">
        <f t="shared" si="9"/>
        <v>23.83215023</v>
      </c>
      <c r="R24" s="16">
        <f t="shared" si="10"/>
        <v>27.90070734</v>
      </c>
      <c r="S24" s="16">
        <f t="shared" si="11"/>
        <v>27.90070734</v>
      </c>
      <c r="T24" s="17"/>
      <c r="U24" s="17"/>
      <c r="V24" s="17"/>
      <c r="W24" s="17"/>
      <c r="X24" s="17"/>
      <c r="Y24" s="17"/>
      <c r="Z24" s="17"/>
    </row>
    <row r="25">
      <c r="A25" s="13">
        <v>45088.0</v>
      </c>
      <c r="B25" s="14">
        <v>2023.0</v>
      </c>
      <c r="C25" s="14">
        <v>6.0</v>
      </c>
      <c r="D25" s="14">
        <v>23.0</v>
      </c>
      <c r="E25" s="15">
        <v>453.0</v>
      </c>
      <c r="F25" s="15">
        <v>293.0</v>
      </c>
      <c r="G25" s="15">
        <v>262.0</v>
      </c>
      <c r="H25" s="15">
        <v>169.0</v>
      </c>
      <c r="I25" s="15">
        <v>360.0</v>
      </c>
      <c r="J25" s="16">
        <f t="shared" si="2"/>
        <v>0.944300614</v>
      </c>
      <c r="K25" s="16">
        <f t="shared" si="3"/>
        <v>0.8602634115</v>
      </c>
      <c r="L25" s="16">
        <f t="shared" si="4"/>
        <v>0.8534238823</v>
      </c>
      <c r="M25" s="16">
        <f t="shared" si="5"/>
        <v>0.8618917542</v>
      </c>
      <c r="N25" s="16">
        <f t="shared" si="6"/>
        <v>1.303308119</v>
      </c>
      <c r="O25" s="16">
        <f t="shared" si="7"/>
        <v>24.35665048</v>
      </c>
      <c r="P25" s="16">
        <f t="shared" si="8"/>
        <v>26.73599701</v>
      </c>
      <c r="Q25" s="16">
        <f t="shared" si="9"/>
        <v>26.95026525</v>
      </c>
      <c r="R25" s="16">
        <f t="shared" si="10"/>
        <v>17.64740024</v>
      </c>
      <c r="S25" s="16">
        <f t="shared" si="11"/>
        <v>17.64740024</v>
      </c>
      <c r="T25" s="17"/>
      <c r="U25" s="17"/>
      <c r="V25" s="17"/>
      <c r="W25" s="17"/>
      <c r="X25" s="17"/>
      <c r="Y25" s="17"/>
      <c r="Z25" s="17"/>
    </row>
    <row r="26">
      <c r="A26" s="13">
        <v>45095.0</v>
      </c>
      <c r="B26" s="14">
        <v>2023.0</v>
      </c>
      <c r="C26" s="14">
        <v>6.0</v>
      </c>
      <c r="D26" s="14">
        <v>24.0</v>
      </c>
      <c r="E26" s="15">
        <v>495.0</v>
      </c>
      <c r="F26" s="15">
        <v>88.0</v>
      </c>
      <c r="G26" s="15">
        <v>270.0</v>
      </c>
      <c r="H26" s="15">
        <v>171.0</v>
      </c>
      <c r="I26" s="15">
        <v>187.0</v>
      </c>
      <c r="J26" s="16">
        <f t="shared" si="2"/>
        <v>0.8519860936</v>
      </c>
      <c r="K26" s="16">
        <f t="shared" si="3"/>
        <v>0.8894956633</v>
      </c>
      <c r="L26" s="16">
        <f t="shared" si="4"/>
        <v>0.8905966104</v>
      </c>
      <c r="M26" s="16">
        <f t="shared" si="5"/>
        <v>0.9702301032</v>
      </c>
      <c r="N26" s="16">
        <f t="shared" si="6"/>
        <v>0.7305051068</v>
      </c>
      <c r="O26" s="16">
        <f t="shared" si="7"/>
        <v>28.16947387</v>
      </c>
      <c r="P26" s="16">
        <f t="shared" si="8"/>
        <v>26.9815818</v>
      </c>
      <c r="Q26" s="16">
        <f t="shared" si="9"/>
        <v>26.94822742</v>
      </c>
      <c r="R26" s="16">
        <f t="shared" si="10"/>
        <v>32.85397977</v>
      </c>
      <c r="S26" s="16">
        <f t="shared" si="11"/>
        <v>32.85397977</v>
      </c>
      <c r="T26" s="17"/>
      <c r="U26" s="17"/>
      <c r="V26" s="17"/>
      <c r="W26" s="17"/>
      <c r="X26" s="17"/>
      <c r="Y26" s="17"/>
      <c r="Z26" s="17"/>
    </row>
    <row r="27">
      <c r="A27" s="13">
        <v>45102.0</v>
      </c>
      <c r="B27" s="14">
        <v>2023.0</v>
      </c>
      <c r="C27" s="14">
        <v>6.0</v>
      </c>
      <c r="D27" s="14">
        <v>25.0</v>
      </c>
      <c r="E27" s="15">
        <v>339.0</v>
      </c>
      <c r="F27" s="15">
        <v>412.0</v>
      </c>
      <c r="G27" s="15">
        <v>223.0</v>
      </c>
      <c r="H27" s="15">
        <v>215.0</v>
      </c>
      <c r="I27" s="15">
        <v>210.0</v>
      </c>
      <c r="J27" s="16">
        <f t="shared" si="2"/>
        <v>0.5923515053</v>
      </c>
      <c r="K27" s="16">
        <f t="shared" si="3"/>
        <v>0.9423921191</v>
      </c>
      <c r="L27" s="16">
        <f t="shared" si="4"/>
        <v>0.9293182021</v>
      </c>
      <c r="M27" s="16">
        <f t="shared" si="5"/>
        <v>0.6789203204</v>
      </c>
      <c r="N27" s="16">
        <f t="shared" si="6"/>
        <v>0.85739185</v>
      </c>
      <c r="O27" s="16">
        <f t="shared" si="7"/>
        <v>42.20467033</v>
      </c>
      <c r="P27" s="16">
        <f t="shared" si="8"/>
        <v>26.52823543</v>
      </c>
      <c r="Q27" s="16">
        <f t="shared" si="9"/>
        <v>26.90144231</v>
      </c>
      <c r="R27" s="16">
        <f t="shared" si="10"/>
        <v>29.15819645</v>
      </c>
      <c r="S27" s="16">
        <f t="shared" si="11"/>
        <v>29.15819645</v>
      </c>
      <c r="T27" s="17"/>
      <c r="U27" s="17"/>
      <c r="V27" s="17"/>
      <c r="W27" s="17"/>
      <c r="X27" s="17"/>
      <c r="Y27" s="17"/>
      <c r="Z27" s="17"/>
    </row>
    <row r="28">
      <c r="A28" s="13">
        <v>45109.0</v>
      </c>
      <c r="B28" s="14">
        <v>2023.0</v>
      </c>
      <c r="C28" s="14">
        <v>7.0</v>
      </c>
      <c r="D28" s="14">
        <v>26.0</v>
      </c>
      <c r="E28" s="15">
        <v>603.0</v>
      </c>
      <c r="F28" s="15">
        <v>273.0</v>
      </c>
      <c r="G28" s="15">
        <v>202.0</v>
      </c>
      <c r="H28" s="15">
        <v>138.0</v>
      </c>
      <c r="I28" s="15">
        <v>197.0</v>
      </c>
      <c r="J28" s="16">
        <f t="shared" si="2"/>
        <v>1.145277018</v>
      </c>
      <c r="K28" s="16">
        <f t="shared" si="3"/>
        <v>0.766998608</v>
      </c>
      <c r="L28" s="16">
        <f t="shared" si="4"/>
        <v>0.8456795639</v>
      </c>
      <c r="M28" s="16">
        <f t="shared" si="5"/>
        <v>0.8185564146</v>
      </c>
      <c r="N28" s="16">
        <f t="shared" si="6"/>
        <v>1.071286646</v>
      </c>
      <c r="O28" s="16">
        <f t="shared" si="7"/>
        <v>22.70193115</v>
      </c>
      <c r="P28" s="16">
        <f t="shared" si="8"/>
        <v>33.89836661</v>
      </c>
      <c r="Q28" s="16">
        <f t="shared" si="9"/>
        <v>30.74450549</v>
      </c>
      <c r="R28" s="16">
        <f t="shared" si="10"/>
        <v>24.26988156</v>
      </c>
      <c r="S28" s="16">
        <f t="shared" si="11"/>
        <v>24.26988156</v>
      </c>
      <c r="T28" s="17"/>
      <c r="U28" s="17"/>
      <c r="V28" s="17"/>
      <c r="W28" s="17"/>
      <c r="X28" s="17"/>
      <c r="Y28" s="17"/>
      <c r="Z28" s="17"/>
    </row>
    <row r="29">
      <c r="A29" s="13">
        <v>45116.0</v>
      </c>
      <c r="B29" s="14">
        <v>2023.0</v>
      </c>
      <c r="C29" s="14">
        <v>7.0</v>
      </c>
      <c r="D29" s="14">
        <v>27.0</v>
      </c>
      <c r="E29" s="15">
        <v>402.0</v>
      </c>
      <c r="F29" s="15">
        <v>412.0</v>
      </c>
      <c r="G29" s="15">
        <v>307.0</v>
      </c>
      <c r="H29" s="15">
        <v>184.0</v>
      </c>
      <c r="I29" s="15">
        <v>194.0</v>
      </c>
      <c r="J29" s="16">
        <f t="shared" si="2"/>
        <v>1.055847326</v>
      </c>
      <c r="K29" s="16">
        <f t="shared" si="3"/>
        <v>1.050969055</v>
      </c>
      <c r="L29" s="16">
        <f t="shared" si="4"/>
        <v>0.9200250201</v>
      </c>
      <c r="M29" s="16">
        <f t="shared" si="5"/>
        <v>0.9726376221</v>
      </c>
      <c r="N29" s="16">
        <f t="shared" si="6"/>
        <v>0.7848851396</v>
      </c>
      <c r="O29" s="16">
        <f t="shared" si="7"/>
        <v>25.57187894</v>
      </c>
      <c r="P29" s="16">
        <f t="shared" si="8"/>
        <v>25.69057565</v>
      </c>
      <c r="Q29" s="16">
        <f t="shared" si="9"/>
        <v>29.34702797</v>
      </c>
      <c r="R29" s="16">
        <f t="shared" si="10"/>
        <v>34.39993782</v>
      </c>
      <c r="S29" s="16">
        <f t="shared" si="11"/>
        <v>34.39993782</v>
      </c>
      <c r="T29" s="17"/>
      <c r="U29" s="17"/>
      <c r="V29" s="17"/>
      <c r="W29" s="17"/>
      <c r="X29" s="17"/>
      <c r="Y29" s="17"/>
      <c r="Z29" s="17"/>
    </row>
    <row r="30">
      <c r="A30" s="13">
        <v>45123.0</v>
      </c>
      <c r="B30" s="14">
        <v>2023.0</v>
      </c>
      <c r="C30" s="14">
        <v>7.0</v>
      </c>
      <c r="D30" s="14">
        <v>28.0</v>
      </c>
      <c r="E30" s="15">
        <v>459.0</v>
      </c>
      <c r="F30" s="15">
        <v>389.0</v>
      </c>
      <c r="G30" s="15">
        <v>374.0</v>
      </c>
      <c r="H30" s="15">
        <v>176.0</v>
      </c>
      <c r="I30" s="15">
        <v>270.0</v>
      </c>
      <c r="J30" s="16">
        <f t="shared" si="2"/>
        <v>0.8202529773</v>
      </c>
      <c r="K30" s="16">
        <f t="shared" si="3"/>
        <v>0.9423921191</v>
      </c>
      <c r="L30" s="16">
        <f t="shared" si="4"/>
        <v>1.033092068</v>
      </c>
      <c r="M30" s="16">
        <f t="shared" si="5"/>
        <v>0.8281864901</v>
      </c>
      <c r="N30" s="16">
        <f t="shared" si="6"/>
        <v>0.9135845505</v>
      </c>
      <c r="O30" s="16">
        <f t="shared" si="7"/>
        <v>34.13581026</v>
      </c>
      <c r="P30" s="16">
        <f t="shared" si="8"/>
        <v>29.71162368</v>
      </c>
      <c r="Q30" s="16">
        <f t="shared" si="9"/>
        <v>27.1031023</v>
      </c>
      <c r="R30" s="16">
        <f t="shared" si="10"/>
        <v>30.64850427</v>
      </c>
      <c r="S30" s="16">
        <f t="shared" si="11"/>
        <v>30.64850427</v>
      </c>
      <c r="T30" s="17"/>
      <c r="U30" s="17"/>
      <c r="V30" s="17"/>
      <c r="W30" s="17"/>
      <c r="X30" s="17"/>
      <c r="Y30" s="17"/>
      <c r="Z30" s="17"/>
    </row>
    <row r="31">
      <c r="A31" s="13">
        <v>45130.0</v>
      </c>
      <c r="B31" s="14">
        <v>2023.0</v>
      </c>
      <c r="C31" s="14">
        <v>7.0</v>
      </c>
      <c r="D31" s="14">
        <v>29.0</v>
      </c>
      <c r="E31" s="15">
        <v>476.0</v>
      </c>
      <c r="F31" s="15">
        <v>393.0</v>
      </c>
      <c r="G31" s="15">
        <v>227.0</v>
      </c>
      <c r="H31" s="15">
        <v>155.0</v>
      </c>
      <c r="I31" s="15">
        <v>227.0</v>
      </c>
      <c r="J31" s="16">
        <f t="shared" si="2"/>
        <v>0.6365855463</v>
      </c>
      <c r="K31" s="16">
        <f t="shared" si="3"/>
        <v>0.963272299</v>
      </c>
      <c r="L31" s="16">
        <f t="shared" si="4"/>
        <v>0.6675602419</v>
      </c>
      <c r="M31" s="16">
        <f t="shared" si="5"/>
        <v>0.4815037733</v>
      </c>
      <c r="N31" s="16">
        <f t="shared" si="6"/>
        <v>0.7413811134</v>
      </c>
      <c r="O31" s="16">
        <f t="shared" si="7"/>
        <v>45.55554264</v>
      </c>
      <c r="P31" s="16">
        <f t="shared" si="8"/>
        <v>30.10571365</v>
      </c>
      <c r="Q31" s="16">
        <f t="shared" si="9"/>
        <v>43.44177226</v>
      </c>
      <c r="R31" s="16">
        <f t="shared" si="10"/>
        <v>39.11618394</v>
      </c>
      <c r="S31" s="16">
        <f t="shared" si="11"/>
        <v>39.11618394</v>
      </c>
      <c r="T31" s="17"/>
      <c r="U31" s="17"/>
      <c r="V31" s="17"/>
      <c r="W31" s="17"/>
      <c r="X31" s="17"/>
      <c r="Y31" s="17"/>
      <c r="Z31" s="17"/>
    </row>
    <row r="32">
      <c r="A32" s="13">
        <v>45137.0</v>
      </c>
      <c r="B32" s="14">
        <v>2023.0</v>
      </c>
      <c r="C32" s="14">
        <v>7.0</v>
      </c>
      <c r="D32" s="14">
        <v>30.0</v>
      </c>
      <c r="E32" s="15">
        <v>476.0</v>
      </c>
      <c r="F32" s="15">
        <v>270.0</v>
      </c>
      <c r="G32" s="15">
        <v>208.0</v>
      </c>
      <c r="H32" s="15">
        <v>94.0</v>
      </c>
      <c r="I32" s="15">
        <v>261.0</v>
      </c>
      <c r="J32" s="16">
        <f t="shared" si="2"/>
        <v>0.9846882166</v>
      </c>
      <c r="K32" s="16">
        <f t="shared" si="3"/>
        <v>0.7795267159</v>
      </c>
      <c r="L32" s="16">
        <f t="shared" si="4"/>
        <v>0.7852738808</v>
      </c>
      <c r="M32" s="16">
        <f t="shared" si="5"/>
        <v>0.5657669337</v>
      </c>
      <c r="N32" s="16">
        <f t="shared" si="6"/>
        <v>0.8555791822</v>
      </c>
      <c r="O32" s="16">
        <f t="shared" si="7"/>
        <v>30.46649639</v>
      </c>
      <c r="P32" s="16">
        <f t="shared" si="8"/>
        <v>38.48489011</v>
      </c>
      <c r="Q32" s="16">
        <f t="shared" si="9"/>
        <v>38.20323168</v>
      </c>
      <c r="R32" s="16">
        <f t="shared" si="10"/>
        <v>35.06396675</v>
      </c>
      <c r="S32" s="16">
        <f t="shared" si="11"/>
        <v>35.06396675</v>
      </c>
      <c r="T32" s="17"/>
      <c r="U32" s="17"/>
      <c r="V32" s="17"/>
      <c r="W32" s="17"/>
      <c r="X32" s="17"/>
      <c r="Y32" s="17"/>
      <c r="Z32" s="17"/>
    </row>
    <row r="33">
      <c r="A33" s="13">
        <v>45144.0</v>
      </c>
      <c r="B33" s="14">
        <v>2023.0</v>
      </c>
      <c r="C33" s="14">
        <v>8.0</v>
      </c>
      <c r="D33" s="14">
        <v>31.0</v>
      </c>
      <c r="E33" s="15">
        <v>431.0</v>
      </c>
      <c r="F33" s="15">
        <v>324.0</v>
      </c>
      <c r="G33" s="15">
        <v>479.0</v>
      </c>
      <c r="H33" s="15">
        <v>196.0</v>
      </c>
      <c r="I33" s="15">
        <v>249.0</v>
      </c>
      <c r="J33" s="16">
        <f t="shared" si="2"/>
        <v>0.9106442784</v>
      </c>
      <c r="K33" s="16">
        <f t="shared" si="3"/>
        <v>0.9312560231</v>
      </c>
      <c r="L33" s="16">
        <f t="shared" si="4"/>
        <v>1.293301165</v>
      </c>
      <c r="M33" s="16">
        <f t="shared" si="5"/>
        <v>1.052085745</v>
      </c>
      <c r="N33" s="16">
        <f t="shared" si="6"/>
        <v>0.7993864817</v>
      </c>
      <c r="O33" s="16">
        <f t="shared" si="7"/>
        <v>34.04183251</v>
      </c>
      <c r="P33" s="16">
        <f t="shared" si="8"/>
        <v>33.2883753</v>
      </c>
      <c r="Q33" s="16">
        <f t="shared" si="9"/>
        <v>23.96966836</v>
      </c>
      <c r="R33" s="16">
        <f t="shared" si="10"/>
        <v>38.7797401</v>
      </c>
      <c r="S33" s="16">
        <f t="shared" si="11"/>
        <v>38.7797401</v>
      </c>
      <c r="T33" s="17"/>
      <c r="U33" s="17"/>
      <c r="V33" s="17"/>
      <c r="W33" s="17"/>
      <c r="X33" s="17"/>
      <c r="Y33" s="17"/>
      <c r="Z33" s="17"/>
    </row>
    <row r="34">
      <c r="A34" s="13">
        <v>45151.0</v>
      </c>
      <c r="B34" s="14">
        <v>2023.0</v>
      </c>
      <c r="C34" s="14">
        <v>8.0</v>
      </c>
      <c r="D34" s="14">
        <v>32.0</v>
      </c>
      <c r="E34" s="15">
        <v>390.0</v>
      </c>
      <c r="F34" s="15">
        <v>323.0</v>
      </c>
      <c r="G34" s="15">
        <v>311.0</v>
      </c>
      <c r="H34" s="15">
        <v>233.0</v>
      </c>
      <c r="I34" s="15">
        <v>291.0</v>
      </c>
      <c r="J34" s="16">
        <f t="shared" si="2"/>
        <v>0.7529403062</v>
      </c>
      <c r="K34" s="16">
        <f t="shared" si="3"/>
        <v>1.016168755</v>
      </c>
      <c r="L34" s="16">
        <f t="shared" si="4"/>
        <v>0.9571977482</v>
      </c>
      <c r="M34" s="16">
        <f t="shared" si="5"/>
        <v>0.9606000278</v>
      </c>
      <c r="N34" s="16">
        <f t="shared" si="6"/>
        <v>1.103914665</v>
      </c>
      <c r="O34" s="16">
        <f t="shared" si="7"/>
        <v>42.50004912</v>
      </c>
      <c r="P34" s="16">
        <f t="shared" si="8"/>
        <v>31.49083246</v>
      </c>
      <c r="Q34" s="16">
        <f t="shared" si="9"/>
        <v>33.4309186</v>
      </c>
      <c r="R34" s="16">
        <f t="shared" si="10"/>
        <v>28.98774788</v>
      </c>
      <c r="S34" s="16">
        <f t="shared" si="11"/>
        <v>28.98774788</v>
      </c>
      <c r="T34" s="17"/>
      <c r="U34" s="17"/>
      <c r="V34" s="17"/>
      <c r="W34" s="17"/>
      <c r="X34" s="17"/>
      <c r="Y34" s="17"/>
      <c r="Z34" s="17"/>
    </row>
    <row r="35">
      <c r="A35" s="13">
        <v>45158.0</v>
      </c>
      <c r="B35" s="14">
        <v>2023.0</v>
      </c>
      <c r="C35" s="14">
        <v>8.0</v>
      </c>
      <c r="D35" s="14">
        <v>33.0</v>
      </c>
      <c r="E35" s="15">
        <v>469.0</v>
      </c>
      <c r="F35" s="15">
        <v>362.0</v>
      </c>
      <c r="G35" s="15">
        <v>146.0</v>
      </c>
      <c r="H35" s="15">
        <v>227.0</v>
      </c>
      <c r="I35" s="15">
        <v>182.0</v>
      </c>
      <c r="J35" s="16">
        <f t="shared" si="2"/>
        <v>1.191434278</v>
      </c>
      <c r="K35" s="16">
        <f t="shared" si="3"/>
        <v>0.963272299</v>
      </c>
      <c r="L35" s="16">
        <f t="shared" si="4"/>
        <v>0.8425818366</v>
      </c>
      <c r="M35" s="16">
        <f t="shared" si="5"/>
        <v>1.023195518</v>
      </c>
      <c r="N35" s="16">
        <f t="shared" si="6"/>
        <v>0.7866978074</v>
      </c>
      <c r="O35" s="16">
        <f t="shared" si="7"/>
        <v>27.69770907</v>
      </c>
      <c r="P35" s="16">
        <f t="shared" si="8"/>
        <v>34.25822588</v>
      </c>
      <c r="Q35" s="16">
        <f t="shared" si="9"/>
        <v>39.16533512</v>
      </c>
      <c r="R35" s="16">
        <f t="shared" si="10"/>
        <v>41.94749202</v>
      </c>
      <c r="S35" s="16">
        <f t="shared" si="11"/>
        <v>41.94749202</v>
      </c>
      <c r="T35" s="17"/>
      <c r="U35" s="17"/>
      <c r="V35" s="17"/>
      <c r="W35" s="17"/>
      <c r="X35" s="17"/>
      <c r="Y35" s="17"/>
      <c r="Z35" s="17"/>
    </row>
    <row r="36">
      <c r="A36" s="13">
        <v>45165.0</v>
      </c>
      <c r="B36" s="14">
        <v>2023.0</v>
      </c>
      <c r="C36" s="14">
        <v>8.0</v>
      </c>
      <c r="D36" s="14">
        <v>34.0</v>
      </c>
      <c r="E36" s="15">
        <v>570.0</v>
      </c>
      <c r="F36" s="15">
        <v>334.0</v>
      </c>
      <c r="G36" s="15">
        <v>215.0</v>
      </c>
      <c r="H36" s="15">
        <v>194.0</v>
      </c>
      <c r="I36" s="15">
        <v>279.0</v>
      </c>
      <c r="J36" s="16">
        <f t="shared" si="2"/>
        <v>1.06930986</v>
      </c>
      <c r="K36" s="16">
        <f t="shared" si="3"/>
        <v>1.133097762</v>
      </c>
      <c r="L36" s="16">
        <f t="shared" si="4"/>
        <v>0.8673636553</v>
      </c>
      <c r="M36" s="16">
        <f t="shared" si="5"/>
        <v>0.9894902542</v>
      </c>
      <c r="N36" s="16">
        <f t="shared" si="6"/>
        <v>1.054972636</v>
      </c>
      <c r="O36" s="16">
        <f t="shared" si="7"/>
        <v>31.79620919</v>
      </c>
      <c r="P36" s="16">
        <f t="shared" si="8"/>
        <v>30.00623701</v>
      </c>
      <c r="Q36" s="16">
        <f t="shared" si="9"/>
        <v>39.19924451</v>
      </c>
      <c r="R36" s="16">
        <f t="shared" si="10"/>
        <v>32.22832408</v>
      </c>
      <c r="S36" s="16">
        <f t="shared" si="11"/>
        <v>32.22832408</v>
      </c>
      <c r="T36" s="17"/>
      <c r="U36" s="17"/>
      <c r="V36" s="17"/>
      <c r="W36" s="17"/>
      <c r="X36" s="17"/>
      <c r="Y36" s="17"/>
      <c r="Z36" s="17"/>
    </row>
    <row r="37">
      <c r="A37" s="13">
        <v>45172.0</v>
      </c>
      <c r="B37" s="14">
        <v>2023.0</v>
      </c>
      <c r="C37" s="14">
        <v>9.0</v>
      </c>
      <c r="D37" s="14">
        <v>35.0</v>
      </c>
      <c r="E37" s="15">
        <v>717.0</v>
      </c>
      <c r="F37" s="15">
        <v>349.0</v>
      </c>
      <c r="G37" s="15">
        <v>248.0</v>
      </c>
      <c r="H37" s="15">
        <v>50.0</v>
      </c>
      <c r="I37" s="15">
        <v>267.0</v>
      </c>
      <c r="J37" s="16">
        <f t="shared" si="2"/>
        <v>1.085657223</v>
      </c>
      <c r="K37" s="16">
        <f t="shared" si="3"/>
        <v>0.9242959632</v>
      </c>
      <c r="L37" s="16">
        <f t="shared" si="4"/>
        <v>0.9897238853</v>
      </c>
      <c r="M37" s="16">
        <f t="shared" si="5"/>
        <v>0.6283624242</v>
      </c>
      <c r="N37" s="16">
        <f t="shared" si="6"/>
        <v>0.9824659253</v>
      </c>
      <c r="O37" s="16">
        <f t="shared" si="7"/>
        <v>32.23853649</v>
      </c>
      <c r="P37" s="16">
        <f t="shared" si="8"/>
        <v>37.86665894</v>
      </c>
      <c r="Q37" s="16">
        <f t="shared" si="9"/>
        <v>35.36339834</v>
      </c>
      <c r="R37" s="16">
        <f t="shared" si="10"/>
        <v>35.62464519</v>
      </c>
      <c r="S37" s="16">
        <f t="shared" si="11"/>
        <v>35.62464519</v>
      </c>
      <c r="T37" s="17"/>
      <c r="U37" s="17"/>
      <c r="V37" s="17"/>
      <c r="W37" s="17"/>
      <c r="X37" s="17"/>
      <c r="Y37" s="17"/>
      <c r="Z37" s="17"/>
    </row>
    <row r="38">
      <c r="A38" s="13">
        <v>45179.0</v>
      </c>
      <c r="B38" s="14">
        <v>2023.0</v>
      </c>
      <c r="C38" s="14">
        <v>9.0</v>
      </c>
      <c r="D38" s="14">
        <v>36.0</v>
      </c>
      <c r="E38" s="15">
        <v>458.0</v>
      </c>
      <c r="F38" s="15">
        <v>280.0</v>
      </c>
      <c r="G38" s="15">
        <v>259.0</v>
      </c>
      <c r="H38" s="15">
        <v>284.0</v>
      </c>
      <c r="I38" s="15">
        <v>271.0</v>
      </c>
      <c r="J38" s="16">
        <f t="shared" si="2"/>
        <v>0.9885346549</v>
      </c>
      <c r="K38" s="16">
        <f t="shared" si="3"/>
        <v>0.960488275</v>
      </c>
      <c r="L38" s="16">
        <f t="shared" si="4"/>
        <v>0.5482977393</v>
      </c>
      <c r="M38" s="16">
        <f t="shared" si="5"/>
        <v>1.124311311</v>
      </c>
      <c r="N38" s="16">
        <f t="shared" si="6"/>
        <v>0.9860912608</v>
      </c>
      <c r="O38" s="16">
        <f t="shared" si="7"/>
        <v>36.41753966</v>
      </c>
      <c r="P38" s="16">
        <f t="shared" si="8"/>
        <v>37.48093645</v>
      </c>
      <c r="Q38" s="16">
        <f t="shared" si="9"/>
        <v>65.6577575</v>
      </c>
      <c r="R38" s="16">
        <f t="shared" si="10"/>
        <v>36.50777715</v>
      </c>
      <c r="S38" s="16">
        <f t="shared" si="11"/>
        <v>36.50777715</v>
      </c>
      <c r="T38" s="17"/>
      <c r="U38" s="17"/>
      <c r="V38" s="17"/>
      <c r="W38" s="17"/>
      <c r="X38" s="17"/>
      <c r="Y38" s="17"/>
      <c r="Z38" s="17"/>
    </row>
    <row r="39">
      <c r="A39" s="13">
        <v>45186.0</v>
      </c>
      <c r="B39" s="14">
        <v>2023.0</v>
      </c>
      <c r="C39" s="14">
        <v>9.0</v>
      </c>
      <c r="D39" s="14">
        <v>37.0</v>
      </c>
      <c r="E39" s="15">
        <v>519.0</v>
      </c>
      <c r="F39" s="15">
        <v>256.0</v>
      </c>
      <c r="G39" s="15">
        <v>489.0</v>
      </c>
      <c r="H39" s="15">
        <v>214.0</v>
      </c>
      <c r="I39" s="15">
        <v>364.0</v>
      </c>
      <c r="J39" s="16">
        <f t="shared" si="2"/>
        <v>1.00007397</v>
      </c>
      <c r="K39" s="16">
        <f t="shared" si="3"/>
        <v>0.9270799872</v>
      </c>
      <c r="L39" s="16">
        <f t="shared" si="4"/>
        <v>1.141512525</v>
      </c>
      <c r="M39" s="16">
        <f t="shared" si="5"/>
        <v>0.6596601695</v>
      </c>
      <c r="N39" s="16">
        <f t="shared" si="6"/>
        <v>1.141980688</v>
      </c>
      <c r="O39" s="16">
        <f t="shared" si="7"/>
        <v>36.99726331</v>
      </c>
      <c r="P39" s="16">
        <f t="shared" si="8"/>
        <v>39.91025641</v>
      </c>
      <c r="Q39" s="16">
        <f t="shared" si="9"/>
        <v>32.41313537</v>
      </c>
      <c r="R39" s="16">
        <f t="shared" si="10"/>
        <v>32.39984737</v>
      </c>
      <c r="S39" s="16">
        <f t="shared" si="11"/>
        <v>32.39984737</v>
      </c>
      <c r="T39" s="17"/>
      <c r="U39" s="17"/>
      <c r="V39" s="17"/>
      <c r="W39" s="17"/>
      <c r="X39" s="17"/>
      <c r="Y39" s="17"/>
      <c r="Z39" s="17"/>
    </row>
    <row r="40">
      <c r="A40" s="13">
        <v>45193.0</v>
      </c>
      <c r="B40" s="14">
        <v>2023.0</v>
      </c>
      <c r="C40" s="14">
        <v>9.0</v>
      </c>
      <c r="D40" s="14">
        <v>38.0</v>
      </c>
      <c r="E40" s="15">
        <v>354.0</v>
      </c>
      <c r="F40" s="15">
        <v>479.0</v>
      </c>
      <c r="G40" s="15">
        <v>367.0</v>
      </c>
      <c r="H40" s="15">
        <v>165.0</v>
      </c>
      <c r="I40" s="15">
        <v>348.0</v>
      </c>
      <c r="J40" s="16">
        <f t="shared" si="2"/>
        <v>0.9241068126</v>
      </c>
      <c r="K40" s="16">
        <f t="shared" si="3"/>
        <v>1.08994539</v>
      </c>
      <c r="L40" s="16">
        <f t="shared" si="4"/>
        <v>1.157001162</v>
      </c>
      <c r="M40" s="16">
        <f t="shared" si="5"/>
        <v>0.9702301032</v>
      </c>
      <c r="N40" s="16">
        <f t="shared" si="6"/>
        <v>1.044096629</v>
      </c>
      <c r="O40" s="16">
        <f t="shared" si="7"/>
        <v>41.12078764</v>
      </c>
      <c r="P40" s="16">
        <f t="shared" si="8"/>
        <v>34.86413204</v>
      </c>
      <c r="Q40" s="16">
        <f t="shared" si="9"/>
        <v>32.84352796</v>
      </c>
      <c r="R40" s="16">
        <f t="shared" si="10"/>
        <v>36.39509882</v>
      </c>
      <c r="S40" s="16">
        <f t="shared" si="11"/>
        <v>36.39509882</v>
      </c>
      <c r="T40" s="17"/>
      <c r="U40" s="17"/>
      <c r="V40" s="17"/>
      <c r="W40" s="17"/>
      <c r="X40" s="17"/>
      <c r="Y40" s="17"/>
      <c r="Z40" s="17"/>
    </row>
    <row r="41">
      <c r="A41" s="13">
        <v>45200.0</v>
      </c>
      <c r="B41" s="14">
        <v>2023.0</v>
      </c>
      <c r="C41" s="14">
        <v>10.0</v>
      </c>
      <c r="D41" s="14">
        <v>39.0</v>
      </c>
      <c r="E41" s="15">
        <v>571.0</v>
      </c>
      <c r="F41" s="15">
        <v>280.0</v>
      </c>
      <c r="G41" s="15">
        <v>282.0</v>
      </c>
      <c r="H41" s="15">
        <v>218.0</v>
      </c>
      <c r="I41" s="15">
        <v>270.0</v>
      </c>
      <c r="J41" s="16">
        <f t="shared" si="2"/>
        <v>1.182779791</v>
      </c>
      <c r="K41" s="16">
        <f t="shared" si="3"/>
        <v>0.949352179</v>
      </c>
      <c r="L41" s="16">
        <f t="shared" si="4"/>
        <v>1.082655705</v>
      </c>
      <c r="M41" s="16">
        <f t="shared" si="5"/>
        <v>1.078568452</v>
      </c>
      <c r="N41" s="16">
        <f t="shared" si="6"/>
        <v>1.181859379</v>
      </c>
      <c r="O41" s="16">
        <f t="shared" si="7"/>
        <v>32.97317073</v>
      </c>
      <c r="P41" s="16">
        <f t="shared" si="8"/>
        <v>41.08064516</v>
      </c>
      <c r="Q41" s="16">
        <f t="shared" si="9"/>
        <v>36.02253219</v>
      </c>
      <c r="R41" s="16">
        <f t="shared" si="10"/>
        <v>32.99884969</v>
      </c>
      <c r="S41" s="16">
        <f t="shared" si="11"/>
        <v>32.99884969</v>
      </c>
      <c r="T41" s="17"/>
      <c r="U41" s="17"/>
      <c r="V41" s="17"/>
      <c r="W41" s="17"/>
      <c r="X41" s="17"/>
      <c r="Y41" s="17"/>
      <c r="Z41" s="17"/>
    </row>
    <row r="42">
      <c r="A42" s="13">
        <v>45207.0</v>
      </c>
      <c r="B42" s="14">
        <v>2023.0</v>
      </c>
      <c r="C42" s="14">
        <v>10.0</v>
      </c>
      <c r="D42" s="14">
        <v>40.0</v>
      </c>
      <c r="E42" s="15">
        <v>426.0</v>
      </c>
      <c r="F42" s="15">
        <v>405.0</v>
      </c>
      <c r="G42" s="15">
        <v>424.0</v>
      </c>
      <c r="H42" s="15">
        <v>196.0</v>
      </c>
      <c r="I42" s="15">
        <v>228.0</v>
      </c>
      <c r="J42" s="16">
        <f t="shared" si="2"/>
        <v>0.827945854</v>
      </c>
      <c r="K42" s="16">
        <f t="shared" si="3"/>
        <v>1.028696863</v>
      </c>
      <c r="L42" s="16">
        <f t="shared" si="4"/>
        <v>1.143061389</v>
      </c>
      <c r="M42" s="16">
        <f t="shared" si="5"/>
        <v>1.073753415</v>
      </c>
      <c r="N42" s="16">
        <f t="shared" si="6"/>
        <v>0.8175131593</v>
      </c>
      <c r="O42" s="16">
        <f t="shared" si="7"/>
        <v>48.31233807</v>
      </c>
      <c r="P42" s="16">
        <f t="shared" si="8"/>
        <v>38.88414698</v>
      </c>
      <c r="Q42" s="16">
        <f t="shared" si="9"/>
        <v>34.99374609</v>
      </c>
      <c r="R42" s="16">
        <f t="shared" si="10"/>
        <v>48.928876</v>
      </c>
      <c r="S42" s="16">
        <f t="shared" si="11"/>
        <v>48.928876</v>
      </c>
      <c r="T42" s="17"/>
      <c r="U42" s="17"/>
      <c r="V42" s="17"/>
      <c r="W42" s="17"/>
      <c r="X42" s="17"/>
      <c r="Y42" s="17"/>
      <c r="Z42" s="17"/>
    </row>
    <row r="43">
      <c r="A43" s="13">
        <v>45214.0</v>
      </c>
      <c r="B43" s="14">
        <v>2023.0</v>
      </c>
      <c r="C43" s="14">
        <v>10.0</v>
      </c>
      <c r="D43" s="14">
        <v>41.0</v>
      </c>
      <c r="E43" s="15">
        <v>521.0</v>
      </c>
      <c r="F43" s="15">
        <v>249.0</v>
      </c>
      <c r="G43" s="15">
        <v>315.0</v>
      </c>
      <c r="H43" s="15">
        <v>209.0</v>
      </c>
      <c r="I43" s="15">
        <v>251.0</v>
      </c>
      <c r="J43" s="16">
        <f t="shared" si="2"/>
        <v>0.9577631482</v>
      </c>
      <c r="K43" s="16">
        <f t="shared" si="3"/>
        <v>0.7892707999</v>
      </c>
      <c r="L43" s="16">
        <f t="shared" si="4"/>
        <v>0.9835284306</v>
      </c>
      <c r="M43" s="16">
        <f t="shared" si="5"/>
        <v>1.225427103</v>
      </c>
      <c r="N43" s="16">
        <f t="shared" si="6"/>
        <v>1.025969952</v>
      </c>
      <c r="O43" s="16">
        <f t="shared" si="7"/>
        <v>42.80807847</v>
      </c>
      <c r="P43" s="16">
        <f t="shared" si="8"/>
        <v>51.94668295</v>
      </c>
      <c r="Q43" s="16">
        <f t="shared" si="9"/>
        <v>41.68664446</v>
      </c>
      <c r="R43" s="16">
        <f t="shared" si="10"/>
        <v>39.96218402</v>
      </c>
      <c r="S43" s="16">
        <f t="shared" si="11"/>
        <v>39.96218402</v>
      </c>
      <c r="T43" s="17"/>
      <c r="U43" s="17"/>
      <c r="V43" s="17"/>
      <c r="W43" s="17"/>
      <c r="X43" s="17"/>
      <c r="Y43" s="17"/>
      <c r="Z43" s="17"/>
    </row>
    <row r="44">
      <c r="A44" s="13">
        <v>45221.0</v>
      </c>
      <c r="B44" s="14">
        <v>2023.0</v>
      </c>
      <c r="C44" s="14">
        <v>10.0</v>
      </c>
      <c r="D44" s="14">
        <v>42.0</v>
      </c>
      <c r="E44" s="15">
        <v>464.0</v>
      </c>
      <c r="F44" s="15">
        <v>272.0</v>
      </c>
      <c r="G44" s="15">
        <v>335.0</v>
      </c>
      <c r="H44" s="15">
        <v>180.0</v>
      </c>
      <c r="I44" s="15">
        <v>157.0</v>
      </c>
      <c r="J44" s="16">
        <f t="shared" si="2"/>
        <v>0.9221835935</v>
      </c>
      <c r="K44" s="16">
        <f t="shared" si="3"/>
        <v>0.8686154835</v>
      </c>
      <c r="L44" s="16">
        <f t="shared" si="4"/>
        <v>0.9045363834</v>
      </c>
      <c r="M44" s="16">
        <f t="shared" si="5"/>
        <v>0.8811519052</v>
      </c>
      <c r="N44" s="16">
        <f t="shared" si="6"/>
        <v>0.7123784293</v>
      </c>
      <c r="O44" s="16">
        <f t="shared" si="7"/>
        <v>45.54407636</v>
      </c>
      <c r="P44" s="16">
        <f t="shared" si="8"/>
        <v>48.35281065</v>
      </c>
      <c r="Q44" s="16">
        <f t="shared" si="9"/>
        <v>46.43262645</v>
      </c>
      <c r="R44" s="16">
        <f t="shared" si="10"/>
        <v>58.95742807</v>
      </c>
      <c r="S44" s="16">
        <f t="shared" si="11"/>
        <v>58.95742807</v>
      </c>
      <c r="T44" s="17"/>
      <c r="U44" s="17"/>
      <c r="V44" s="17"/>
      <c r="W44" s="17"/>
      <c r="X44" s="17"/>
      <c r="Y44" s="17"/>
      <c r="Z44" s="17"/>
    </row>
    <row r="45">
      <c r="A45" s="13">
        <v>45228.0</v>
      </c>
      <c r="B45" s="14">
        <v>2023.0</v>
      </c>
      <c r="C45" s="14">
        <v>10.0</v>
      </c>
      <c r="D45" s="14">
        <v>43.0</v>
      </c>
      <c r="E45" s="15">
        <v>413.0</v>
      </c>
      <c r="F45" s="15">
        <v>352.0</v>
      </c>
      <c r="G45" s="15">
        <v>371.0</v>
      </c>
      <c r="H45" s="15">
        <v>326.0</v>
      </c>
      <c r="I45" s="15">
        <v>259.0</v>
      </c>
      <c r="J45" s="16">
        <f t="shared" si="2"/>
        <v>0.8904504771</v>
      </c>
      <c r="K45" s="16">
        <f t="shared" si="3"/>
        <v>1.023128815</v>
      </c>
      <c r="L45" s="16">
        <f t="shared" si="4"/>
        <v>1.279361392</v>
      </c>
      <c r="M45" s="16">
        <f t="shared" si="5"/>
        <v>1.357840641</v>
      </c>
      <c r="N45" s="16">
        <f t="shared" si="6"/>
        <v>1.102101997</v>
      </c>
      <c r="O45" s="16">
        <f t="shared" si="7"/>
        <v>48.29016448</v>
      </c>
      <c r="P45" s="16">
        <f t="shared" si="8"/>
        <v>42.02794349</v>
      </c>
      <c r="Q45" s="16">
        <f t="shared" si="9"/>
        <v>33.61051872</v>
      </c>
      <c r="R45" s="16">
        <f t="shared" si="10"/>
        <v>39.01635248</v>
      </c>
      <c r="S45" s="16">
        <f t="shared" si="11"/>
        <v>39.01635248</v>
      </c>
      <c r="T45" s="17"/>
      <c r="U45" s="17"/>
      <c r="V45" s="17"/>
      <c r="W45" s="17"/>
      <c r="X45" s="17"/>
      <c r="Y45" s="17"/>
      <c r="Z45" s="17"/>
    </row>
    <row r="46">
      <c r="A46" s="13">
        <v>45235.0</v>
      </c>
      <c r="B46" s="14">
        <v>2023.0</v>
      </c>
      <c r="C46" s="14">
        <v>11.0</v>
      </c>
      <c r="D46" s="14">
        <v>44.0</v>
      </c>
      <c r="E46" s="15">
        <v>671.0</v>
      </c>
      <c r="F46" s="15">
        <v>422.0</v>
      </c>
      <c r="G46" s="15">
        <v>465.0</v>
      </c>
      <c r="H46" s="15">
        <v>251.0</v>
      </c>
      <c r="I46" s="15">
        <v>339.0</v>
      </c>
      <c r="J46" s="16">
        <f t="shared" si="2"/>
        <v>1.207781641</v>
      </c>
      <c r="K46" s="16">
        <f t="shared" si="3"/>
        <v>1.407324125</v>
      </c>
      <c r="L46" s="16">
        <f t="shared" si="4"/>
        <v>1.415661395</v>
      </c>
      <c r="M46" s="16">
        <f t="shared" si="5"/>
        <v>1.781563961</v>
      </c>
      <c r="N46" s="16">
        <f t="shared" si="6"/>
        <v>1.201798724</v>
      </c>
      <c r="O46" s="16">
        <f t="shared" si="7"/>
        <v>36.43042626</v>
      </c>
      <c r="P46" s="16">
        <f t="shared" si="8"/>
        <v>31.26500799</v>
      </c>
      <c r="Q46" s="16">
        <f t="shared" si="9"/>
        <v>31.08087864</v>
      </c>
      <c r="R46" s="16">
        <f t="shared" si="10"/>
        <v>36.61178791</v>
      </c>
      <c r="S46" s="16">
        <f t="shared" si="11"/>
        <v>36.61178791</v>
      </c>
      <c r="T46" s="17"/>
      <c r="U46" s="17"/>
      <c r="V46" s="17"/>
      <c r="W46" s="17"/>
      <c r="X46" s="17"/>
      <c r="Y46" s="17"/>
      <c r="Z46" s="17"/>
    </row>
    <row r="47">
      <c r="A47" s="13">
        <v>45242.0</v>
      </c>
      <c r="B47" s="14">
        <v>2023.0</v>
      </c>
      <c r="C47" s="14">
        <v>11.0</v>
      </c>
      <c r="D47" s="14">
        <v>45.0</v>
      </c>
      <c r="E47" s="15">
        <v>794.0</v>
      </c>
      <c r="F47" s="15">
        <v>654.0</v>
      </c>
      <c r="G47" s="15">
        <v>440.0</v>
      </c>
      <c r="H47" s="15">
        <v>281.0</v>
      </c>
      <c r="I47" s="15">
        <v>317.0</v>
      </c>
      <c r="J47" s="16">
        <f t="shared" si="2"/>
        <v>1.523189585</v>
      </c>
      <c r="K47" s="16">
        <f t="shared" si="3"/>
        <v>1.59246172</v>
      </c>
      <c r="L47" s="16">
        <f t="shared" si="4"/>
        <v>1.172489798</v>
      </c>
      <c r="M47" s="16">
        <f t="shared" si="5"/>
        <v>1.478216584</v>
      </c>
      <c r="N47" s="16">
        <f t="shared" si="6"/>
        <v>1.10028933</v>
      </c>
      <c r="O47" s="16">
        <f t="shared" si="7"/>
        <v>29.54326923</v>
      </c>
      <c r="P47" s="16">
        <f t="shared" si="8"/>
        <v>28.25813609</v>
      </c>
      <c r="Q47" s="16">
        <f t="shared" si="9"/>
        <v>38.37986485</v>
      </c>
      <c r="R47" s="16">
        <f t="shared" si="10"/>
        <v>40.89833354</v>
      </c>
      <c r="S47" s="16">
        <f t="shared" si="11"/>
        <v>40.89833354</v>
      </c>
      <c r="T47" s="17"/>
      <c r="U47" s="17"/>
      <c r="V47" s="17"/>
      <c r="W47" s="17"/>
      <c r="X47" s="17"/>
      <c r="Y47" s="17"/>
      <c r="Z47" s="17"/>
    </row>
    <row r="48">
      <c r="A48" s="13">
        <v>45249.0</v>
      </c>
      <c r="B48" s="14">
        <v>2023.0</v>
      </c>
      <c r="C48" s="14">
        <v>11.0</v>
      </c>
      <c r="D48" s="14">
        <v>46.0</v>
      </c>
      <c r="E48" s="15">
        <v>591.0</v>
      </c>
      <c r="F48" s="15">
        <v>551.0</v>
      </c>
      <c r="G48" s="15">
        <v>423.0</v>
      </c>
      <c r="H48" s="15">
        <v>394.0</v>
      </c>
      <c r="I48" s="15">
        <v>325.0</v>
      </c>
      <c r="J48" s="16">
        <f t="shared" si="2"/>
        <v>1.141430579</v>
      </c>
      <c r="K48" s="16">
        <f t="shared" si="3"/>
        <v>1.421244245</v>
      </c>
      <c r="L48" s="16">
        <f t="shared" si="4"/>
        <v>1.576743216</v>
      </c>
      <c r="M48" s="16">
        <f t="shared" si="5"/>
        <v>1.480624103</v>
      </c>
      <c r="N48" s="16">
        <f t="shared" si="6"/>
        <v>1.337748806</v>
      </c>
      <c r="O48" s="16">
        <f t="shared" si="7"/>
        <v>40.30030458</v>
      </c>
      <c r="P48" s="16">
        <f t="shared" si="8"/>
        <v>32.36600618</v>
      </c>
      <c r="Q48" s="16">
        <f t="shared" si="9"/>
        <v>29.17405924</v>
      </c>
      <c r="R48" s="16">
        <f t="shared" si="10"/>
        <v>34.38612675</v>
      </c>
      <c r="S48" s="16">
        <f t="shared" si="11"/>
        <v>34.38612675</v>
      </c>
      <c r="T48" s="17"/>
      <c r="U48" s="17"/>
      <c r="V48" s="17"/>
      <c r="W48" s="17"/>
      <c r="X48" s="17"/>
      <c r="Y48" s="17"/>
      <c r="Z48" s="17"/>
    </row>
    <row r="49">
      <c r="A49" s="13">
        <v>45256.0</v>
      </c>
      <c r="B49" s="14">
        <v>2023.0</v>
      </c>
      <c r="C49" s="14">
        <v>11.0</v>
      </c>
      <c r="D49" s="14">
        <v>47.0</v>
      </c>
      <c r="E49" s="15">
        <v>542.0</v>
      </c>
      <c r="F49" s="15">
        <v>511.0</v>
      </c>
      <c r="G49" s="15">
        <v>476.0</v>
      </c>
      <c r="H49" s="15">
        <v>196.0</v>
      </c>
      <c r="I49" s="15">
        <v>415.0</v>
      </c>
      <c r="J49" s="16">
        <f t="shared" si="2"/>
        <v>1.221244175</v>
      </c>
      <c r="K49" s="16">
        <f t="shared" si="3"/>
        <v>1.492236856</v>
      </c>
      <c r="L49" s="16">
        <f t="shared" si="4"/>
        <v>1.655735263</v>
      </c>
      <c r="M49" s="16">
        <f t="shared" si="5"/>
        <v>1.162831613</v>
      </c>
      <c r="N49" s="16">
        <f t="shared" si="6"/>
        <v>1.635026319</v>
      </c>
      <c r="O49" s="16">
        <f t="shared" si="7"/>
        <v>38.48534222</v>
      </c>
      <c r="P49" s="16">
        <f t="shared" si="8"/>
        <v>31.49634041</v>
      </c>
      <c r="Q49" s="16">
        <f t="shared" si="9"/>
        <v>28.38618047</v>
      </c>
      <c r="R49" s="16">
        <f t="shared" si="10"/>
        <v>28.74571465</v>
      </c>
      <c r="S49" s="16">
        <f t="shared" si="11"/>
        <v>28.74571465</v>
      </c>
      <c r="T49" s="17"/>
      <c r="U49" s="17"/>
      <c r="V49" s="17"/>
      <c r="W49" s="17"/>
      <c r="X49" s="17"/>
      <c r="Y49" s="17"/>
      <c r="Z49" s="17"/>
    </row>
    <row r="50">
      <c r="A50" s="13">
        <v>45263.0</v>
      </c>
      <c r="B50" s="14">
        <v>2023.0</v>
      </c>
      <c r="C50" s="14">
        <v>12.0</v>
      </c>
      <c r="D50" s="14">
        <v>48.0</v>
      </c>
      <c r="E50" s="15">
        <v>1218.0</v>
      </c>
      <c r="F50" s="15">
        <v>461.0</v>
      </c>
      <c r="G50" s="15">
        <v>424.0</v>
      </c>
      <c r="H50" s="15">
        <v>277.0</v>
      </c>
      <c r="I50" s="15">
        <v>420.0</v>
      </c>
      <c r="J50" s="16">
        <f t="shared" si="2"/>
        <v>1.964568385</v>
      </c>
      <c r="K50" s="16">
        <f t="shared" si="3"/>
        <v>1.170682086</v>
      </c>
      <c r="L50" s="16">
        <f t="shared" si="4"/>
        <v>1.192625026</v>
      </c>
      <c r="M50" s="16">
        <f t="shared" si="5"/>
        <v>1.12671883</v>
      </c>
      <c r="N50" s="16">
        <f t="shared" si="6"/>
        <v>1.413880852</v>
      </c>
      <c r="O50" s="16">
        <f t="shared" si="7"/>
        <v>24.43284762</v>
      </c>
      <c r="P50" s="16">
        <f t="shared" si="8"/>
        <v>41.00173786</v>
      </c>
      <c r="Q50" s="16">
        <f t="shared" si="9"/>
        <v>40.24735265</v>
      </c>
      <c r="R50" s="16">
        <f t="shared" si="10"/>
        <v>33.94911243</v>
      </c>
      <c r="S50" s="16">
        <f t="shared" si="11"/>
        <v>33.94911243</v>
      </c>
      <c r="T50" s="17"/>
      <c r="U50" s="17"/>
      <c r="V50" s="17"/>
      <c r="W50" s="17"/>
      <c r="X50" s="17"/>
      <c r="Y50" s="17"/>
      <c r="Z50" s="17"/>
    </row>
    <row r="51">
      <c r="A51" s="13">
        <v>45270.0</v>
      </c>
      <c r="B51" s="14">
        <v>2023.0</v>
      </c>
      <c r="C51" s="14">
        <v>12.0</v>
      </c>
      <c r="D51" s="14">
        <v>49.0</v>
      </c>
      <c r="E51" s="15">
        <v>588.0</v>
      </c>
      <c r="F51" s="15">
        <v>456.0</v>
      </c>
      <c r="G51" s="15">
        <v>646.0</v>
      </c>
      <c r="H51" s="15">
        <v>228.0</v>
      </c>
      <c r="I51" s="15">
        <v>255.0</v>
      </c>
      <c r="J51" s="16">
        <f t="shared" si="2"/>
        <v>1.198165545</v>
      </c>
      <c r="K51" s="16">
        <f t="shared" si="3"/>
        <v>1.468572652</v>
      </c>
      <c r="L51" s="16">
        <f t="shared" si="4"/>
        <v>1.740922765</v>
      </c>
      <c r="M51" s="16">
        <f t="shared" si="5"/>
        <v>1.230242141</v>
      </c>
      <c r="N51" s="16">
        <f t="shared" si="6"/>
        <v>1.364938822</v>
      </c>
      <c r="O51" s="16">
        <f t="shared" si="7"/>
        <v>40.89585134</v>
      </c>
      <c r="P51" s="16">
        <f t="shared" si="8"/>
        <v>33.36573095</v>
      </c>
      <c r="Q51" s="16">
        <f t="shared" si="9"/>
        <v>28.14599302</v>
      </c>
      <c r="R51" s="16">
        <f t="shared" si="10"/>
        <v>35.89904485</v>
      </c>
      <c r="S51" s="16">
        <f t="shared" si="11"/>
        <v>35.89904485</v>
      </c>
      <c r="T51" s="17"/>
      <c r="U51" s="17"/>
      <c r="V51" s="17"/>
      <c r="W51" s="17"/>
      <c r="X51" s="17"/>
      <c r="Y51" s="17"/>
      <c r="Z51" s="17"/>
    </row>
    <row r="52">
      <c r="A52" s="13">
        <v>45277.0</v>
      </c>
      <c r="B52" s="14">
        <v>2023.0</v>
      </c>
      <c r="C52" s="14">
        <v>12.0</v>
      </c>
      <c r="D52" s="14">
        <v>50.0</v>
      </c>
      <c r="E52" s="15">
        <v>605.0</v>
      </c>
      <c r="F52" s="15">
        <v>794.0</v>
      </c>
      <c r="G52" s="15">
        <v>236.0</v>
      </c>
      <c r="H52" s="15">
        <v>267.0</v>
      </c>
      <c r="I52" s="15">
        <v>457.0</v>
      </c>
      <c r="J52" s="16">
        <f t="shared" si="2"/>
        <v>1.222205784</v>
      </c>
      <c r="K52" s="16">
        <f t="shared" si="3"/>
        <v>1.848591926</v>
      </c>
      <c r="L52" s="16">
        <f t="shared" si="4"/>
        <v>0.9076341107</v>
      </c>
      <c r="M52" s="16">
        <f t="shared" si="5"/>
        <v>1.55044215</v>
      </c>
      <c r="N52" s="16">
        <f t="shared" si="6"/>
        <v>1.480949559</v>
      </c>
      <c r="O52" s="16">
        <f t="shared" si="7"/>
        <v>40.90964111</v>
      </c>
      <c r="P52" s="16">
        <f t="shared" si="8"/>
        <v>27.04761353</v>
      </c>
      <c r="Q52" s="16">
        <f t="shared" si="9"/>
        <v>55.08827776</v>
      </c>
      <c r="R52" s="16">
        <f t="shared" si="10"/>
        <v>33.76212221</v>
      </c>
      <c r="S52" s="16">
        <f t="shared" si="11"/>
        <v>33.76212221</v>
      </c>
      <c r="T52" s="17"/>
      <c r="U52" s="17"/>
      <c r="V52" s="17"/>
      <c r="W52" s="17"/>
      <c r="X52" s="17"/>
      <c r="Y52" s="17"/>
      <c r="Z52" s="17"/>
    </row>
    <row r="53">
      <c r="A53" s="13">
        <v>45284.0</v>
      </c>
      <c r="B53" s="14">
        <v>2023.0</v>
      </c>
      <c r="C53" s="14">
        <v>12.0</v>
      </c>
      <c r="D53" s="14">
        <v>51.0</v>
      </c>
      <c r="E53" s="15">
        <v>532.0</v>
      </c>
      <c r="F53" s="15">
        <v>454.0</v>
      </c>
      <c r="G53" s="15">
        <v>395.0</v>
      </c>
      <c r="H53" s="15">
        <v>268.0</v>
      </c>
      <c r="I53" s="15">
        <v>312.0</v>
      </c>
      <c r="J53" s="16">
        <f t="shared" si="2"/>
        <v>1.206820031</v>
      </c>
      <c r="K53" s="16">
        <f t="shared" si="3"/>
        <v>1.20130635</v>
      </c>
      <c r="L53" s="16">
        <f t="shared" si="4"/>
        <v>1.242188664</v>
      </c>
      <c r="M53" s="16">
        <f t="shared" si="5"/>
        <v>1.567294782</v>
      </c>
      <c r="N53" s="16">
        <f t="shared" si="6"/>
        <v>1.674905009</v>
      </c>
      <c r="O53" s="16">
        <f t="shared" si="7"/>
        <v>42.25982225</v>
      </c>
      <c r="P53" s="16">
        <f t="shared" si="8"/>
        <v>42.45378376</v>
      </c>
      <c r="Q53" s="16">
        <f t="shared" si="9"/>
        <v>41.05656532</v>
      </c>
      <c r="R53" s="16">
        <f t="shared" si="10"/>
        <v>30.44948801</v>
      </c>
      <c r="S53" s="16">
        <f t="shared" si="11"/>
        <v>30.44948801</v>
      </c>
      <c r="T53" s="17"/>
      <c r="U53" s="17"/>
      <c r="V53" s="17"/>
      <c r="W53" s="17"/>
      <c r="X53" s="17"/>
      <c r="Y53" s="17"/>
      <c r="Z53" s="17"/>
    </row>
    <row r="54">
      <c r="A54" s="13">
        <v>45291.0</v>
      </c>
      <c r="B54" s="14">
        <v>2023.0</v>
      </c>
      <c r="C54" s="14">
        <v>12.0</v>
      </c>
      <c r="D54" s="14">
        <v>52.0</v>
      </c>
      <c r="E54" s="15">
        <v>384.0</v>
      </c>
      <c r="F54" s="15">
        <v>528.0</v>
      </c>
      <c r="G54" s="15">
        <v>313.0</v>
      </c>
      <c r="H54" s="15">
        <v>333.0</v>
      </c>
      <c r="I54" s="15">
        <v>544.0</v>
      </c>
      <c r="J54" s="16">
        <f t="shared" si="2"/>
        <v>0.7635180117</v>
      </c>
      <c r="K54" s="16">
        <f t="shared" si="3"/>
        <v>1.105257522</v>
      </c>
      <c r="L54" s="16">
        <f t="shared" si="4"/>
        <v>1.122926161</v>
      </c>
      <c r="M54" s="16">
        <f t="shared" si="5"/>
        <v>1.235057179</v>
      </c>
      <c r="N54" s="16">
        <f t="shared" si="6"/>
        <v>1.328685467</v>
      </c>
      <c r="O54" s="16">
        <f t="shared" si="7"/>
        <v>68.10579345</v>
      </c>
      <c r="P54" s="16">
        <f t="shared" si="8"/>
        <v>47.04785894</v>
      </c>
      <c r="Q54" s="16">
        <f t="shared" si="9"/>
        <v>46.30758621</v>
      </c>
      <c r="R54" s="16">
        <f t="shared" si="10"/>
        <v>39.13642565</v>
      </c>
      <c r="S54" s="16">
        <f t="shared" si="11"/>
        <v>39.13642565</v>
      </c>
      <c r="T54" s="17"/>
      <c r="U54" s="17"/>
      <c r="V54" s="17"/>
      <c r="W54" s="17"/>
      <c r="X54" s="17"/>
      <c r="Y54" s="17"/>
      <c r="Z54" s="17"/>
    </row>
    <row r="55">
      <c r="A55" s="13">
        <v>45298.0</v>
      </c>
      <c r="B55" s="14">
        <v>2024.0</v>
      </c>
      <c r="C55" s="14">
        <v>1.0</v>
      </c>
      <c r="D55" s="14">
        <v>1.0</v>
      </c>
      <c r="E55" s="15">
        <v>479.0</v>
      </c>
      <c r="F55" s="15">
        <v>263.0</v>
      </c>
      <c r="G55" s="15">
        <v>376.0</v>
      </c>
      <c r="H55" s="15">
        <v>188.0</v>
      </c>
      <c r="I55" s="15">
        <v>229.0</v>
      </c>
      <c r="J55" s="16">
        <f t="shared" si="2"/>
        <v>0.8029440047</v>
      </c>
      <c r="K55" s="16">
        <f t="shared" si="3"/>
        <v>0.6862619124</v>
      </c>
      <c r="L55" s="16">
        <f t="shared" si="4"/>
        <v>0.9680397939</v>
      </c>
      <c r="M55" s="16">
        <f t="shared" si="5"/>
        <v>0.5681744525</v>
      </c>
      <c r="N55" s="16">
        <f t="shared" si="6"/>
        <v>0.7051277582</v>
      </c>
      <c r="O55" s="16">
        <f t="shared" si="7"/>
        <v>1.245416859</v>
      </c>
      <c r="P55" s="16">
        <f t="shared" si="8"/>
        <v>1.457169605</v>
      </c>
      <c r="Q55" s="16">
        <f t="shared" si="9"/>
        <v>1.033015385</v>
      </c>
      <c r="R55" s="16">
        <f t="shared" si="10"/>
        <v>1.418182717</v>
      </c>
      <c r="S55" s="16">
        <f t="shared" si="11"/>
        <v>1.418182717</v>
      </c>
      <c r="T55" s="17"/>
      <c r="U55" s="17"/>
      <c r="V55" s="17"/>
      <c r="W55" s="17"/>
      <c r="X55" s="17"/>
      <c r="Y55" s="17"/>
      <c r="Z55" s="17"/>
    </row>
    <row r="56">
      <c r="A56" s="13">
        <v>45305.0</v>
      </c>
      <c r="B56" s="14">
        <v>2024.0</v>
      </c>
      <c r="C56" s="14">
        <v>1.0</v>
      </c>
      <c r="D56" s="14">
        <v>2.0</v>
      </c>
      <c r="E56" s="15">
        <v>614.0</v>
      </c>
      <c r="F56" s="15">
        <v>81.0</v>
      </c>
      <c r="G56" s="15">
        <v>263.0</v>
      </c>
      <c r="H56" s="15">
        <v>138.0</v>
      </c>
      <c r="I56" s="15">
        <v>192.0</v>
      </c>
      <c r="J56" s="16">
        <f t="shared" si="2"/>
        <v>0.9250684222</v>
      </c>
      <c r="K56" s="16">
        <f t="shared" si="3"/>
        <v>0.6194453368</v>
      </c>
      <c r="L56" s="16">
        <f t="shared" si="4"/>
        <v>0.8208977452</v>
      </c>
      <c r="M56" s="16">
        <f t="shared" si="5"/>
        <v>0.650030094</v>
      </c>
      <c r="N56" s="16">
        <f t="shared" si="6"/>
        <v>0.9226478893</v>
      </c>
      <c r="O56" s="16">
        <f t="shared" si="7"/>
        <v>2.162002239</v>
      </c>
      <c r="P56" s="16">
        <f t="shared" si="8"/>
        <v>3.228694901</v>
      </c>
      <c r="Q56" s="16">
        <f t="shared" si="9"/>
        <v>2.436357039</v>
      </c>
      <c r="R56" s="16">
        <f t="shared" si="10"/>
        <v>2.167674173</v>
      </c>
      <c r="S56" s="16">
        <f t="shared" si="11"/>
        <v>2.167674173</v>
      </c>
      <c r="T56" s="17"/>
      <c r="U56" s="17"/>
      <c r="V56" s="17"/>
      <c r="W56" s="17"/>
      <c r="X56" s="17"/>
      <c r="Y56" s="17"/>
      <c r="Z56" s="17"/>
    </row>
    <row r="57">
      <c r="A57" s="13">
        <v>45312.0</v>
      </c>
      <c r="B57" s="14">
        <v>2024.0</v>
      </c>
      <c r="C57" s="14">
        <v>1.0</v>
      </c>
      <c r="D57" s="14">
        <v>3.0</v>
      </c>
      <c r="E57" s="15">
        <v>318.0</v>
      </c>
      <c r="F57" s="15">
        <v>197.0</v>
      </c>
      <c r="G57" s="15">
        <v>314.0</v>
      </c>
      <c r="H57" s="15">
        <v>169.0</v>
      </c>
      <c r="I57" s="15">
        <v>75.0</v>
      </c>
      <c r="J57" s="16">
        <f t="shared" si="2"/>
        <v>0.8346771211</v>
      </c>
      <c r="K57" s="16">
        <f t="shared" si="3"/>
        <v>0.569332905</v>
      </c>
      <c r="L57" s="16">
        <f t="shared" si="4"/>
        <v>0.8147022905</v>
      </c>
      <c r="M57" s="16">
        <f t="shared" si="5"/>
        <v>0.9774526598</v>
      </c>
      <c r="N57" s="16">
        <f t="shared" si="6"/>
        <v>0.4839822916</v>
      </c>
      <c r="O57" s="16">
        <f t="shared" si="7"/>
        <v>3.594204183</v>
      </c>
      <c r="P57" s="16">
        <f t="shared" si="8"/>
        <v>5.269324807</v>
      </c>
      <c r="Q57" s="16">
        <f t="shared" si="9"/>
        <v>3.682326704</v>
      </c>
      <c r="R57" s="16">
        <f t="shared" si="10"/>
        <v>6.198573898</v>
      </c>
      <c r="S57" s="16">
        <f t="shared" si="11"/>
        <v>6.198573898</v>
      </c>
      <c r="T57" s="17"/>
      <c r="U57" s="17"/>
      <c r="V57" s="17"/>
      <c r="W57" s="17"/>
      <c r="X57" s="17"/>
      <c r="Y57" s="17"/>
      <c r="Z57" s="17"/>
    </row>
    <row r="58">
      <c r="A58" s="13">
        <v>45319.0</v>
      </c>
      <c r="B58" s="14">
        <v>2024.0</v>
      </c>
      <c r="C58" s="14">
        <v>1.0</v>
      </c>
      <c r="D58" s="14">
        <v>4.0</v>
      </c>
      <c r="E58" s="15">
        <v>422.0</v>
      </c>
      <c r="F58" s="15">
        <v>298.0</v>
      </c>
      <c r="G58" s="15">
        <v>252.0</v>
      </c>
      <c r="H58" s="15">
        <v>251.0</v>
      </c>
      <c r="I58" s="15">
        <v>221.0</v>
      </c>
      <c r="J58" s="16">
        <f t="shared" si="2"/>
        <v>0.8317922923</v>
      </c>
      <c r="K58" s="16">
        <f t="shared" si="3"/>
        <v>0.8477353036</v>
      </c>
      <c r="L58" s="16">
        <f t="shared" si="4"/>
        <v>0.7775295624</v>
      </c>
      <c r="M58" s="16">
        <f t="shared" si="5"/>
        <v>1.049678226</v>
      </c>
      <c r="N58" s="16">
        <f t="shared" si="6"/>
        <v>0.8157004915</v>
      </c>
      <c r="O58" s="16">
        <f t="shared" si="7"/>
        <v>4.808892841</v>
      </c>
      <c r="P58" s="16">
        <f t="shared" si="8"/>
        <v>4.71845396</v>
      </c>
      <c r="Q58" s="16">
        <f t="shared" si="9"/>
        <v>5.144498927</v>
      </c>
      <c r="R58" s="16">
        <f t="shared" si="10"/>
        <v>4.903760684</v>
      </c>
      <c r="S58" s="16">
        <f t="shared" si="11"/>
        <v>4.903760684</v>
      </c>
      <c r="T58" s="17"/>
      <c r="U58" s="17"/>
      <c r="V58" s="17"/>
      <c r="W58" s="17"/>
      <c r="X58" s="17"/>
      <c r="Y58" s="17"/>
      <c r="Z58" s="17"/>
    </row>
    <row r="59">
      <c r="A59" s="13">
        <v>45326.0</v>
      </c>
      <c r="B59" s="14">
        <v>2024.0</v>
      </c>
      <c r="C59" s="14">
        <v>2.0</v>
      </c>
      <c r="D59" s="14">
        <v>5.0</v>
      </c>
      <c r="E59" s="15">
        <v>405.0</v>
      </c>
      <c r="F59" s="15">
        <v>351.0</v>
      </c>
      <c r="G59" s="15">
        <v>339.0</v>
      </c>
      <c r="H59" s="15">
        <v>43.0</v>
      </c>
      <c r="I59" s="15">
        <v>204.0</v>
      </c>
      <c r="J59" s="16">
        <f t="shared" si="2"/>
        <v>1.121236778</v>
      </c>
      <c r="K59" s="16">
        <f t="shared" si="3"/>
        <v>0.960488275</v>
      </c>
      <c r="L59" s="16">
        <f t="shared" si="4"/>
        <v>1.060971614</v>
      </c>
      <c r="M59" s="16">
        <f t="shared" si="5"/>
        <v>0.5681744525</v>
      </c>
      <c r="N59" s="16">
        <f t="shared" si="6"/>
        <v>0.7866978074</v>
      </c>
      <c r="O59" s="16">
        <f t="shared" si="7"/>
        <v>4.459361393</v>
      </c>
      <c r="P59" s="16">
        <f t="shared" si="8"/>
        <v>5.205685619</v>
      </c>
      <c r="Q59" s="16">
        <f t="shared" si="9"/>
        <v>4.712661426</v>
      </c>
      <c r="R59" s="16">
        <f t="shared" si="10"/>
        <v>6.35568061</v>
      </c>
      <c r="S59" s="16">
        <f t="shared" si="11"/>
        <v>6.35568061</v>
      </c>
      <c r="T59" s="17"/>
      <c r="U59" s="17"/>
      <c r="V59" s="17"/>
      <c r="W59" s="17"/>
      <c r="X59" s="17"/>
      <c r="Y59" s="17"/>
      <c r="Z59" s="17"/>
    </row>
    <row r="60">
      <c r="A60" s="13">
        <v>45333.0</v>
      </c>
      <c r="B60" s="14">
        <v>2024.0</v>
      </c>
      <c r="C60" s="14">
        <v>2.0</v>
      </c>
      <c r="D60" s="14">
        <v>6.0</v>
      </c>
      <c r="E60" s="15">
        <v>489.0</v>
      </c>
      <c r="F60" s="15">
        <v>300.0</v>
      </c>
      <c r="G60" s="15">
        <v>252.0</v>
      </c>
      <c r="H60" s="15">
        <v>232.0</v>
      </c>
      <c r="I60" s="15">
        <v>309.0</v>
      </c>
      <c r="J60" s="16">
        <f t="shared" si="2"/>
        <v>1.001997189</v>
      </c>
      <c r="K60" s="16">
        <f t="shared" si="3"/>
        <v>0.8296391477</v>
      </c>
      <c r="L60" s="16">
        <f t="shared" si="4"/>
        <v>0.8859500194</v>
      </c>
      <c r="M60" s="16">
        <f t="shared" si="5"/>
        <v>1.04004815</v>
      </c>
      <c r="N60" s="16">
        <f t="shared" si="6"/>
        <v>0.9516505734</v>
      </c>
      <c r="O60" s="16">
        <f t="shared" si="7"/>
        <v>5.98804075</v>
      </c>
      <c r="P60" s="16">
        <f t="shared" si="8"/>
        <v>7.232059886</v>
      </c>
      <c r="Q60" s="16">
        <f t="shared" si="9"/>
        <v>6.77239107</v>
      </c>
      <c r="R60" s="16">
        <f t="shared" si="10"/>
        <v>6.304835165</v>
      </c>
      <c r="S60" s="16">
        <f t="shared" si="11"/>
        <v>6.304835165</v>
      </c>
      <c r="T60" s="17"/>
      <c r="U60" s="17"/>
      <c r="V60" s="17"/>
      <c r="W60" s="17"/>
      <c r="X60" s="17"/>
      <c r="Y60" s="17"/>
      <c r="Z60" s="17"/>
    </row>
    <row r="61">
      <c r="A61" s="13">
        <v>45340.0</v>
      </c>
      <c r="B61" s="14">
        <v>2024.0</v>
      </c>
      <c r="C61" s="14">
        <v>2.0</v>
      </c>
      <c r="D61" s="14">
        <v>7.0</v>
      </c>
      <c r="E61" s="15">
        <v>526.0</v>
      </c>
      <c r="F61" s="15">
        <v>469.0</v>
      </c>
      <c r="G61" s="15">
        <v>409.0</v>
      </c>
      <c r="H61" s="15">
        <v>200.0</v>
      </c>
      <c r="I61" s="15">
        <v>321.0</v>
      </c>
      <c r="J61" s="16">
        <f t="shared" si="2"/>
        <v>0.9192987647</v>
      </c>
      <c r="K61" s="16">
        <f t="shared" si="3"/>
        <v>1.101081486</v>
      </c>
      <c r="L61" s="16">
        <f t="shared" si="4"/>
        <v>1.222053436</v>
      </c>
      <c r="M61" s="16">
        <f t="shared" si="5"/>
        <v>0.9293022825</v>
      </c>
      <c r="N61" s="16">
        <f t="shared" si="6"/>
        <v>1.045909297</v>
      </c>
      <c r="O61" s="16">
        <f t="shared" si="7"/>
        <v>7.614499517</v>
      </c>
      <c r="P61" s="16">
        <f t="shared" si="8"/>
        <v>6.357385977</v>
      </c>
      <c r="Q61" s="16">
        <f t="shared" si="9"/>
        <v>5.728063761</v>
      </c>
      <c r="R61" s="16">
        <f t="shared" si="10"/>
        <v>6.692740968</v>
      </c>
      <c r="S61" s="16">
        <f t="shared" si="11"/>
        <v>6.692740968</v>
      </c>
      <c r="T61" s="17"/>
      <c r="U61" s="17"/>
      <c r="V61" s="17"/>
      <c r="W61" s="17"/>
      <c r="X61" s="17"/>
      <c r="Y61" s="17"/>
      <c r="Z61" s="17"/>
    </row>
    <row r="62">
      <c r="A62" s="13">
        <v>45347.0</v>
      </c>
      <c r="B62" s="14">
        <v>2024.0</v>
      </c>
      <c r="C62" s="14">
        <v>2.0</v>
      </c>
      <c r="D62" s="14">
        <v>8.0</v>
      </c>
      <c r="E62" s="15">
        <v>522.0</v>
      </c>
      <c r="F62" s="15">
        <v>388.0</v>
      </c>
      <c r="G62" s="15">
        <v>293.0</v>
      </c>
      <c r="H62" s="15">
        <v>220.0</v>
      </c>
      <c r="I62" s="15">
        <v>275.0</v>
      </c>
      <c r="J62" s="16">
        <f t="shared" si="2"/>
        <v>0.5942747245</v>
      </c>
      <c r="K62" s="16">
        <f t="shared" si="3"/>
        <v>0.9869365028</v>
      </c>
      <c r="L62" s="16">
        <f t="shared" si="4"/>
        <v>1.047031841</v>
      </c>
      <c r="M62" s="16">
        <f t="shared" si="5"/>
        <v>1.011157924</v>
      </c>
      <c r="N62" s="16">
        <f t="shared" si="6"/>
        <v>1.011468609</v>
      </c>
      <c r="O62" s="16">
        <f t="shared" si="7"/>
        <v>13.4617874</v>
      </c>
      <c r="P62" s="16">
        <f t="shared" si="8"/>
        <v>8.105891288</v>
      </c>
      <c r="Q62" s="16">
        <f t="shared" si="9"/>
        <v>7.640646336</v>
      </c>
      <c r="R62" s="16">
        <f t="shared" si="10"/>
        <v>7.909291425</v>
      </c>
      <c r="S62" s="16">
        <f t="shared" si="11"/>
        <v>7.909291425</v>
      </c>
      <c r="T62" s="17"/>
      <c r="U62" s="17"/>
      <c r="V62" s="17"/>
      <c r="W62" s="17"/>
      <c r="X62" s="17"/>
      <c r="Y62" s="17"/>
      <c r="Z62" s="17"/>
    </row>
    <row r="63">
      <c r="A63" s="13">
        <v>45354.0</v>
      </c>
      <c r="B63" s="14">
        <v>2024.0</v>
      </c>
      <c r="C63" s="14">
        <v>3.0</v>
      </c>
      <c r="D63" s="14">
        <v>9.0</v>
      </c>
      <c r="E63" s="15">
        <v>554.0</v>
      </c>
      <c r="F63" s="15">
        <v>361.0</v>
      </c>
      <c r="G63" s="15">
        <v>91.0</v>
      </c>
      <c r="H63" s="15">
        <v>168.0</v>
      </c>
      <c r="I63" s="15">
        <v>294.0</v>
      </c>
      <c r="J63" s="16">
        <f t="shared" si="2"/>
        <v>1.018344552</v>
      </c>
      <c r="K63" s="16">
        <f t="shared" si="3"/>
        <v>1.185994218</v>
      </c>
      <c r="L63" s="16">
        <f t="shared" si="4"/>
        <v>0.7217704703</v>
      </c>
      <c r="M63" s="16">
        <f t="shared" si="5"/>
        <v>0.5440992639</v>
      </c>
      <c r="N63" s="16">
        <f t="shared" si="6"/>
        <v>0.9371492314</v>
      </c>
      <c r="O63" s="16">
        <f t="shared" si="7"/>
        <v>8.837873175</v>
      </c>
      <c r="P63" s="16">
        <f t="shared" si="8"/>
        <v>7.588569881</v>
      </c>
      <c r="Q63" s="16">
        <f t="shared" si="9"/>
        <v>12.46933807</v>
      </c>
      <c r="R63" s="16">
        <f t="shared" si="10"/>
        <v>9.603593215</v>
      </c>
      <c r="S63" s="16">
        <f t="shared" si="11"/>
        <v>9.603593215</v>
      </c>
      <c r="T63" s="17"/>
      <c r="U63" s="17"/>
      <c r="V63" s="17"/>
      <c r="W63" s="17"/>
      <c r="X63" s="17"/>
      <c r="Y63" s="17"/>
      <c r="Z63" s="17"/>
    </row>
    <row r="64">
      <c r="A64" s="13">
        <v>45361.0</v>
      </c>
      <c r="B64" s="14">
        <v>2024.0</v>
      </c>
      <c r="C64" s="14">
        <v>3.0</v>
      </c>
      <c r="D64" s="14">
        <v>10.0</v>
      </c>
      <c r="E64" s="15">
        <v>479.0</v>
      </c>
      <c r="F64" s="15">
        <v>477.0</v>
      </c>
      <c r="G64" s="15">
        <v>389.0</v>
      </c>
      <c r="H64" s="15">
        <v>192.0</v>
      </c>
      <c r="I64" s="15">
        <v>247.0</v>
      </c>
      <c r="J64" s="16">
        <f t="shared" si="2"/>
        <v>0.827945854</v>
      </c>
      <c r="K64" s="16">
        <f t="shared" si="3"/>
        <v>1.14562587</v>
      </c>
      <c r="L64" s="16">
        <f t="shared" si="4"/>
        <v>0.9881750216</v>
      </c>
      <c r="M64" s="16">
        <f t="shared" si="5"/>
        <v>0.9004120561</v>
      </c>
      <c r="N64" s="16">
        <f t="shared" si="6"/>
        <v>0.9008958762</v>
      </c>
      <c r="O64" s="16">
        <f t="shared" si="7"/>
        <v>12.07808452</v>
      </c>
      <c r="P64" s="16">
        <f t="shared" si="8"/>
        <v>8.728853164</v>
      </c>
      <c r="Q64" s="16">
        <f t="shared" si="9"/>
        <v>10.11966482</v>
      </c>
      <c r="R64" s="16">
        <f t="shared" si="10"/>
        <v>11.10006191</v>
      </c>
      <c r="S64" s="16">
        <f t="shared" si="11"/>
        <v>11.10006191</v>
      </c>
      <c r="T64" s="17"/>
      <c r="U64" s="17"/>
      <c r="V64" s="17"/>
      <c r="W64" s="17"/>
      <c r="X64" s="17"/>
      <c r="Y64" s="17"/>
      <c r="Z64" s="17"/>
    </row>
    <row r="65">
      <c r="A65" s="13">
        <v>45368.0</v>
      </c>
      <c r="B65" s="14">
        <v>2024.0</v>
      </c>
      <c r="C65" s="14">
        <v>3.0</v>
      </c>
      <c r="D65" s="14">
        <v>11.0</v>
      </c>
      <c r="E65" s="15">
        <v>446.0</v>
      </c>
      <c r="F65" s="15">
        <v>105.0</v>
      </c>
      <c r="G65" s="15">
        <v>101.0</v>
      </c>
      <c r="H65" s="15">
        <v>204.0</v>
      </c>
      <c r="I65" s="15">
        <v>295.0</v>
      </c>
      <c r="J65" s="16">
        <f t="shared" si="2"/>
        <v>1.160662771</v>
      </c>
      <c r="K65" s="16">
        <f t="shared" si="3"/>
        <v>0.6138772888</v>
      </c>
      <c r="L65" s="16">
        <f t="shared" si="4"/>
        <v>0.6458761505</v>
      </c>
      <c r="M65" s="16">
        <f t="shared" si="5"/>
        <v>0.9702301032</v>
      </c>
      <c r="N65" s="16">
        <f t="shared" si="6"/>
        <v>0.9969672674</v>
      </c>
      <c r="O65" s="16">
        <f t="shared" si="7"/>
        <v>9.4773437</v>
      </c>
      <c r="P65" s="16">
        <f t="shared" si="8"/>
        <v>17.91889063</v>
      </c>
      <c r="Q65" s="16">
        <f t="shared" si="9"/>
        <v>17.03112894</v>
      </c>
      <c r="R65" s="16">
        <f t="shared" si="10"/>
        <v>11.03346154</v>
      </c>
      <c r="S65" s="16">
        <f t="shared" si="11"/>
        <v>11.03346154</v>
      </c>
      <c r="T65" s="17"/>
      <c r="U65" s="17"/>
      <c r="V65" s="17"/>
      <c r="W65" s="17"/>
      <c r="X65" s="17"/>
      <c r="Y65" s="17"/>
      <c r="Z65" s="17"/>
    </row>
    <row r="66">
      <c r="A66" s="13">
        <v>45375.0</v>
      </c>
      <c r="B66" s="14">
        <v>2024.0</v>
      </c>
      <c r="C66" s="14">
        <v>3.0</v>
      </c>
      <c r="D66" s="14">
        <v>12.0</v>
      </c>
      <c r="E66" s="15">
        <v>441.0</v>
      </c>
      <c r="F66" s="15">
        <v>412.0</v>
      </c>
      <c r="G66" s="15">
        <v>278.0</v>
      </c>
      <c r="H66" s="15">
        <v>246.0</v>
      </c>
      <c r="I66" s="15">
        <v>203.0</v>
      </c>
      <c r="J66" s="16">
        <f t="shared" si="2"/>
        <v>1.063540203</v>
      </c>
      <c r="K66" s="16">
        <f t="shared" si="3"/>
        <v>0.9758004069</v>
      </c>
      <c r="L66" s="16">
        <f t="shared" si="4"/>
        <v>0.7899204718</v>
      </c>
      <c r="M66" s="16">
        <f t="shared" si="5"/>
        <v>1.100236122</v>
      </c>
      <c r="N66" s="16">
        <f t="shared" si="6"/>
        <v>0.8700805243</v>
      </c>
      <c r="O66" s="16">
        <f t="shared" si="7"/>
        <v>11.28307136</v>
      </c>
      <c r="P66" s="16">
        <f t="shared" si="8"/>
        <v>12.29759684</v>
      </c>
      <c r="Q66" s="16">
        <f t="shared" si="9"/>
        <v>15.19140271</v>
      </c>
      <c r="R66" s="16">
        <f t="shared" si="10"/>
        <v>13.79182692</v>
      </c>
      <c r="S66" s="16">
        <f t="shared" si="11"/>
        <v>13.79182692</v>
      </c>
      <c r="T66" s="17"/>
      <c r="U66" s="17"/>
      <c r="V66" s="17"/>
      <c r="W66" s="17"/>
      <c r="X66" s="17"/>
      <c r="Y66" s="17"/>
      <c r="Z66" s="17"/>
    </row>
    <row r="67">
      <c r="A67" s="13">
        <v>45382.0</v>
      </c>
      <c r="B67" s="14">
        <v>2024.0</v>
      </c>
      <c r="C67" s="14">
        <v>3.0</v>
      </c>
      <c r="D67" s="14">
        <v>13.0</v>
      </c>
      <c r="E67" s="15">
        <v>173.0</v>
      </c>
      <c r="F67" s="15">
        <v>339.0</v>
      </c>
      <c r="G67" s="15">
        <v>308.0</v>
      </c>
      <c r="H67" s="15">
        <v>232.0</v>
      </c>
      <c r="I67" s="15">
        <v>247.0</v>
      </c>
      <c r="J67" s="16">
        <f t="shared" si="2"/>
        <v>0.8173681485</v>
      </c>
      <c r="K67" s="16">
        <f t="shared" si="3"/>
        <v>0.8616554235</v>
      </c>
      <c r="L67" s="16">
        <f t="shared" si="4"/>
        <v>0.8611682006</v>
      </c>
      <c r="M67" s="16">
        <f t="shared" si="5"/>
        <v>1.020787999</v>
      </c>
      <c r="N67" s="16">
        <f t="shared" si="6"/>
        <v>0.9842785931</v>
      </c>
      <c r="O67" s="16">
        <f t="shared" si="7"/>
        <v>15.90470588</v>
      </c>
      <c r="P67" s="16">
        <f t="shared" si="8"/>
        <v>15.08723748</v>
      </c>
      <c r="Q67" s="16">
        <f t="shared" si="9"/>
        <v>15.09577338</v>
      </c>
      <c r="R67" s="16">
        <f t="shared" si="10"/>
        <v>13.20764273</v>
      </c>
      <c r="S67" s="16">
        <f t="shared" si="11"/>
        <v>13.20764273</v>
      </c>
      <c r="T67" s="17"/>
      <c r="U67" s="17"/>
      <c r="V67" s="17"/>
      <c r="W67" s="17"/>
      <c r="X67" s="17"/>
      <c r="Y67" s="17"/>
      <c r="Z67" s="17"/>
    </row>
    <row r="68">
      <c r="A68" s="13">
        <v>45389.0</v>
      </c>
      <c r="B68" s="14">
        <v>2024.0</v>
      </c>
      <c r="C68" s="14">
        <v>4.0</v>
      </c>
      <c r="D68" s="14">
        <v>14.0</v>
      </c>
      <c r="E68" s="15">
        <v>491.0</v>
      </c>
      <c r="F68" s="15">
        <v>366.0</v>
      </c>
      <c r="G68" s="15">
        <v>270.0</v>
      </c>
      <c r="H68" s="15">
        <v>259.0</v>
      </c>
      <c r="I68" s="15">
        <v>310.0</v>
      </c>
      <c r="J68" s="16">
        <f t="shared" si="2"/>
        <v>0.8404467786</v>
      </c>
      <c r="K68" s="16">
        <f t="shared" si="3"/>
        <v>0.9925045508</v>
      </c>
      <c r="L68" s="16">
        <f t="shared" si="4"/>
        <v>0.8890477467</v>
      </c>
      <c r="M68" s="16">
        <f t="shared" si="5"/>
        <v>1.080975971</v>
      </c>
      <c r="N68" s="16">
        <f t="shared" si="6"/>
        <v>0.9734025865</v>
      </c>
      <c r="O68" s="16">
        <f t="shared" si="7"/>
        <v>16.65780672</v>
      </c>
      <c r="P68" s="16">
        <f t="shared" si="8"/>
        <v>14.10572877</v>
      </c>
      <c r="Q68" s="16">
        <f t="shared" si="9"/>
        <v>15.74718574</v>
      </c>
      <c r="R68" s="16">
        <f t="shared" si="10"/>
        <v>14.38253832</v>
      </c>
      <c r="S68" s="16">
        <f t="shared" si="11"/>
        <v>14.38253832</v>
      </c>
      <c r="T68" s="17"/>
      <c r="U68" s="17"/>
      <c r="V68" s="17"/>
      <c r="W68" s="17"/>
      <c r="X68" s="17"/>
      <c r="Y68" s="17"/>
      <c r="Z68" s="17"/>
    </row>
    <row r="69">
      <c r="A69" s="13">
        <v>45396.0</v>
      </c>
      <c r="B69" s="14">
        <v>2024.0</v>
      </c>
      <c r="C69" s="14">
        <v>4.0</v>
      </c>
      <c r="D69" s="14">
        <v>15.0</v>
      </c>
      <c r="E69" s="15">
        <v>439.0</v>
      </c>
      <c r="F69" s="15">
        <v>351.0</v>
      </c>
      <c r="G69" s="15">
        <v>323.0</v>
      </c>
      <c r="H69" s="15">
        <v>184.0</v>
      </c>
      <c r="I69" s="15">
        <v>241.0</v>
      </c>
      <c r="J69" s="16">
        <f t="shared" si="2"/>
        <v>0.9173755455</v>
      </c>
      <c r="K69" s="16">
        <f t="shared" si="3"/>
        <v>0.8797515794</v>
      </c>
      <c r="L69" s="16">
        <f t="shared" si="4"/>
        <v>1.130670479</v>
      </c>
      <c r="M69" s="16">
        <f t="shared" si="5"/>
        <v>0.9317098014</v>
      </c>
      <c r="N69" s="16">
        <f t="shared" si="6"/>
        <v>0.9153972183</v>
      </c>
      <c r="O69" s="16">
        <f t="shared" si="7"/>
        <v>16.35099178</v>
      </c>
      <c r="P69" s="16">
        <f t="shared" si="8"/>
        <v>17.05026777</v>
      </c>
      <c r="Q69" s="16">
        <f t="shared" si="9"/>
        <v>13.2664647</v>
      </c>
      <c r="R69" s="16">
        <f t="shared" si="10"/>
        <v>16.38632902</v>
      </c>
      <c r="S69" s="16">
        <f t="shared" si="11"/>
        <v>16.38632902</v>
      </c>
      <c r="T69" s="17"/>
      <c r="U69" s="17"/>
      <c r="V69" s="17"/>
      <c r="W69" s="17"/>
      <c r="X69" s="17"/>
      <c r="Y69" s="17"/>
      <c r="Z69" s="17"/>
    </row>
    <row r="70">
      <c r="A70" s="13">
        <v>45403.0</v>
      </c>
      <c r="B70" s="14">
        <v>2024.0</v>
      </c>
      <c r="C70" s="14">
        <v>4.0</v>
      </c>
      <c r="D70" s="14">
        <v>16.0</v>
      </c>
      <c r="E70" s="15">
        <v>739.0</v>
      </c>
      <c r="F70" s="15">
        <v>444.0</v>
      </c>
      <c r="G70" s="15">
        <v>416.0</v>
      </c>
      <c r="H70" s="15">
        <v>257.0</v>
      </c>
      <c r="I70" s="15">
        <v>255.0</v>
      </c>
      <c r="J70" s="16">
        <f t="shared" si="2"/>
        <v>1.183741401</v>
      </c>
      <c r="K70" s="16">
        <f t="shared" si="3"/>
        <v>1.105257522</v>
      </c>
      <c r="L70" s="16">
        <f t="shared" si="4"/>
        <v>1.121377297</v>
      </c>
      <c r="M70" s="16">
        <f t="shared" si="5"/>
        <v>1.160424094</v>
      </c>
      <c r="N70" s="16">
        <f t="shared" si="6"/>
        <v>0.5782410151</v>
      </c>
      <c r="O70" s="16">
        <f t="shared" si="7"/>
        <v>13.51646566</v>
      </c>
      <c r="P70" s="16">
        <f t="shared" si="8"/>
        <v>14.47626429</v>
      </c>
      <c r="Q70" s="16">
        <f t="shared" si="9"/>
        <v>14.2681683</v>
      </c>
      <c r="R70" s="16">
        <f t="shared" si="10"/>
        <v>27.67012298</v>
      </c>
      <c r="S70" s="16">
        <f t="shared" si="11"/>
        <v>27.67012298</v>
      </c>
      <c r="T70" s="17"/>
      <c r="U70" s="17"/>
      <c r="V70" s="17"/>
      <c r="W70" s="17"/>
      <c r="X70" s="17"/>
      <c r="Y70" s="17"/>
      <c r="Z70" s="17"/>
    </row>
    <row r="71">
      <c r="A71" s="13">
        <v>45410.0</v>
      </c>
      <c r="B71" s="14">
        <v>2024.0</v>
      </c>
      <c r="C71" s="14">
        <v>4.0</v>
      </c>
      <c r="D71" s="14">
        <v>17.0</v>
      </c>
      <c r="E71" s="15">
        <v>566.0</v>
      </c>
      <c r="F71" s="15">
        <v>377.0</v>
      </c>
      <c r="G71" s="15">
        <v>382.0</v>
      </c>
      <c r="H71" s="15">
        <v>228.0</v>
      </c>
      <c r="I71" s="15">
        <v>276.0</v>
      </c>
      <c r="J71" s="16">
        <f t="shared" si="2"/>
        <v>0.9683408536</v>
      </c>
      <c r="K71" s="16">
        <f t="shared" si="3"/>
        <v>0.7335903202</v>
      </c>
      <c r="L71" s="16">
        <f t="shared" si="4"/>
        <v>0.9246716111</v>
      </c>
      <c r="M71" s="16">
        <f t="shared" si="5"/>
        <v>1.018380481</v>
      </c>
      <c r="N71" s="16">
        <f t="shared" si="6"/>
        <v>0.8700805243</v>
      </c>
      <c r="O71" s="16">
        <f t="shared" si="7"/>
        <v>17.5558017</v>
      </c>
      <c r="P71" s="16">
        <f t="shared" si="8"/>
        <v>23.17369727</v>
      </c>
      <c r="Q71" s="16">
        <f t="shared" si="9"/>
        <v>18.3849053</v>
      </c>
      <c r="R71" s="16">
        <f t="shared" si="10"/>
        <v>19.53842147</v>
      </c>
      <c r="S71" s="16">
        <f t="shared" si="11"/>
        <v>19.53842147</v>
      </c>
      <c r="T71" s="17"/>
      <c r="U71" s="17"/>
      <c r="V71" s="17"/>
      <c r="W71" s="17"/>
      <c r="X71" s="17"/>
      <c r="Y71" s="17"/>
      <c r="Z71" s="17"/>
    </row>
    <row r="72">
      <c r="A72" s="13">
        <v>45417.0</v>
      </c>
      <c r="B72" s="14">
        <v>2024.0</v>
      </c>
      <c r="C72" s="14">
        <v>5.0</v>
      </c>
      <c r="D72" s="14">
        <v>18.0</v>
      </c>
      <c r="E72" s="15">
        <v>469.0</v>
      </c>
      <c r="F72" s="15">
        <v>349.0</v>
      </c>
      <c r="G72" s="15">
        <v>421.0</v>
      </c>
      <c r="H72" s="15">
        <v>242.0</v>
      </c>
      <c r="I72" s="15">
        <v>204.0</v>
      </c>
      <c r="J72" s="16">
        <f t="shared" si="2"/>
        <v>0.8942969155</v>
      </c>
      <c r="K72" s="16">
        <f t="shared" si="3"/>
        <v>0.8936716993</v>
      </c>
      <c r="L72" s="16">
        <f t="shared" si="4"/>
        <v>0.9587466119</v>
      </c>
      <c r="M72" s="16">
        <f t="shared" si="5"/>
        <v>1.059308301</v>
      </c>
      <c r="N72" s="16">
        <f t="shared" si="6"/>
        <v>0.8447031757</v>
      </c>
      <c r="O72" s="16">
        <f t="shared" si="7"/>
        <v>20.12754342</v>
      </c>
      <c r="P72" s="16">
        <f t="shared" si="8"/>
        <v>20.14162473</v>
      </c>
      <c r="Q72" s="16">
        <f t="shared" si="9"/>
        <v>18.77451224</v>
      </c>
      <c r="R72" s="16">
        <f t="shared" si="10"/>
        <v>21.30926048</v>
      </c>
      <c r="S72" s="16">
        <f t="shared" si="11"/>
        <v>21.30926048</v>
      </c>
      <c r="T72" s="17"/>
      <c r="U72" s="17"/>
      <c r="V72" s="17"/>
      <c r="W72" s="17"/>
      <c r="X72" s="17"/>
      <c r="Y72" s="17"/>
      <c r="Z72" s="17"/>
    </row>
    <row r="73">
      <c r="A73" s="13">
        <v>45424.0</v>
      </c>
      <c r="B73" s="14">
        <v>2024.0</v>
      </c>
      <c r="C73" s="14">
        <v>5.0</v>
      </c>
      <c r="D73" s="14">
        <v>19.0</v>
      </c>
      <c r="E73" s="15">
        <v>535.0</v>
      </c>
      <c r="F73" s="15">
        <v>355.0</v>
      </c>
      <c r="G73" s="15">
        <v>370.0</v>
      </c>
      <c r="H73" s="15">
        <v>189.0</v>
      </c>
      <c r="I73" s="15">
        <v>370.0</v>
      </c>
      <c r="J73" s="16">
        <f t="shared" si="2"/>
        <v>1.012574895</v>
      </c>
      <c r="K73" s="16">
        <f t="shared" si="3"/>
        <v>1.067673198</v>
      </c>
      <c r="L73" s="16">
        <f t="shared" si="4"/>
        <v>1.040836386</v>
      </c>
      <c r="M73" s="16">
        <f t="shared" si="5"/>
        <v>1.068938377</v>
      </c>
      <c r="N73" s="16">
        <f t="shared" si="6"/>
        <v>1.181859379</v>
      </c>
      <c r="O73" s="16">
        <f t="shared" si="7"/>
        <v>18.76404412</v>
      </c>
      <c r="P73" s="16">
        <f t="shared" si="8"/>
        <v>17.79570755</v>
      </c>
      <c r="Q73" s="16">
        <f t="shared" si="9"/>
        <v>18.25455014</v>
      </c>
      <c r="R73" s="16">
        <f t="shared" si="10"/>
        <v>16.07636267</v>
      </c>
      <c r="S73" s="16">
        <f t="shared" si="11"/>
        <v>16.07636267</v>
      </c>
      <c r="T73" s="17"/>
      <c r="U73" s="17"/>
      <c r="V73" s="17"/>
      <c r="W73" s="17"/>
      <c r="X73" s="17"/>
      <c r="Y73" s="17"/>
      <c r="Z73" s="17"/>
    </row>
    <row r="74">
      <c r="A74" s="13">
        <v>45431.0</v>
      </c>
      <c r="B74" s="14">
        <v>2024.0</v>
      </c>
      <c r="C74" s="14">
        <v>5.0</v>
      </c>
      <c r="D74" s="14">
        <v>20.0</v>
      </c>
      <c r="E74" s="15">
        <v>796.0</v>
      </c>
      <c r="F74" s="15">
        <v>264.0</v>
      </c>
      <c r="G74" s="15">
        <v>82.0</v>
      </c>
      <c r="H74" s="15">
        <v>301.0</v>
      </c>
      <c r="I74" s="15">
        <v>317.0</v>
      </c>
      <c r="J74" s="16">
        <f t="shared" si="2"/>
        <v>1.235668319</v>
      </c>
      <c r="K74" s="16">
        <f t="shared" si="3"/>
        <v>0.8741835314</v>
      </c>
      <c r="L74" s="16">
        <f t="shared" si="4"/>
        <v>0.5513954666</v>
      </c>
      <c r="M74" s="16">
        <f t="shared" si="5"/>
        <v>0.8378165656</v>
      </c>
      <c r="N74" s="16">
        <f t="shared" si="6"/>
        <v>1.112978004</v>
      </c>
      <c r="O74" s="16">
        <f t="shared" si="7"/>
        <v>16.18557318</v>
      </c>
      <c r="P74" s="16">
        <f t="shared" si="8"/>
        <v>22.87849094</v>
      </c>
      <c r="Q74" s="16">
        <f t="shared" si="9"/>
        <v>36.27160761</v>
      </c>
      <c r="R74" s="16">
        <f t="shared" si="10"/>
        <v>17.96980707</v>
      </c>
      <c r="S74" s="16">
        <f t="shared" si="11"/>
        <v>17.96980707</v>
      </c>
      <c r="T74" s="17"/>
      <c r="U74" s="17"/>
      <c r="V74" s="17"/>
      <c r="W74" s="17"/>
      <c r="X74" s="17"/>
      <c r="Y74" s="17"/>
      <c r="Z74" s="17"/>
    </row>
    <row r="75">
      <c r="A75" s="13">
        <v>45438.0</v>
      </c>
      <c r="B75" s="14">
        <v>2024.0</v>
      </c>
      <c r="C75" s="14">
        <v>5.0</v>
      </c>
      <c r="D75" s="14">
        <v>21.0</v>
      </c>
      <c r="E75" s="15">
        <v>478.0</v>
      </c>
      <c r="F75" s="15">
        <v>268.0</v>
      </c>
      <c r="G75" s="15">
        <v>201.0</v>
      </c>
      <c r="H75" s="15">
        <v>211.0</v>
      </c>
      <c r="I75" s="15">
        <v>235.0</v>
      </c>
      <c r="J75" s="16">
        <f t="shared" si="2"/>
        <v>0.8058288335</v>
      </c>
      <c r="K75" s="16">
        <f t="shared" si="3"/>
        <v>1.028696863</v>
      </c>
      <c r="L75" s="16">
        <f t="shared" si="4"/>
        <v>0.714026152</v>
      </c>
      <c r="M75" s="16">
        <f t="shared" si="5"/>
        <v>1.085791009</v>
      </c>
      <c r="N75" s="16">
        <f t="shared" si="6"/>
        <v>0.7866978074</v>
      </c>
      <c r="O75" s="16">
        <f t="shared" si="7"/>
        <v>26.06012484</v>
      </c>
      <c r="P75" s="16">
        <f t="shared" si="8"/>
        <v>20.41417716</v>
      </c>
      <c r="Q75" s="16">
        <f t="shared" si="9"/>
        <v>29.41068747</v>
      </c>
      <c r="R75" s="16">
        <f t="shared" si="10"/>
        <v>26.69385856</v>
      </c>
      <c r="S75" s="16">
        <f t="shared" si="11"/>
        <v>26.69385856</v>
      </c>
      <c r="T75" s="17"/>
      <c r="U75" s="17"/>
      <c r="V75" s="17"/>
      <c r="W75" s="17"/>
      <c r="X75" s="17"/>
      <c r="Y75" s="17"/>
      <c r="Z75" s="17"/>
    </row>
    <row r="76">
      <c r="A76" s="13">
        <v>45445.0</v>
      </c>
      <c r="B76" s="14">
        <v>2024.0</v>
      </c>
      <c r="C76" s="14">
        <v>6.0</v>
      </c>
      <c r="D76" s="14">
        <v>22.0</v>
      </c>
      <c r="E76" s="15">
        <v>477.0</v>
      </c>
      <c r="F76" s="15">
        <v>304.0</v>
      </c>
      <c r="G76" s="15">
        <v>268.0</v>
      </c>
      <c r="H76" s="15">
        <v>57.0</v>
      </c>
      <c r="I76" s="15">
        <v>188.0</v>
      </c>
      <c r="J76" s="16">
        <f t="shared" si="2"/>
        <v>1.038538353</v>
      </c>
      <c r="K76" s="16">
        <f t="shared" si="3"/>
        <v>0.5331405932</v>
      </c>
      <c r="L76" s="16">
        <f t="shared" si="4"/>
        <v>0.9231227474</v>
      </c>
      <c r="M76" s="16">
        <f t="shared" si="5"/>
        <v>0.6115097921</v>
      </c>
      <c r="N76" s="16">
        <f t="shared" si="6"/>
        <v>0.7885104751</v>
      </c>
      <c r="O76" s="16">
        <f t="shared" si="7"/>
        <v>21.18361823</v>
      </c>
      <c r="P76" s="16">
        <f t="shared" si="8"/>
        <v>41.26491263</v>
      </c>
      <c r="Q76" s="16">
        <f t="shared" si="9"/>
        <v>23.83215023</v>
      </c>
      <c r="R76" s="16">
        <f t="shared" si="10"/>
        <v>27.90070734</v>
      </c>
      <c r="S76" s="16">
        <f t="shared" si="11"/>
        <v>27.90070734</v>
      </c>
      <c r="T76" s="17"/>
      <c r="U76" s="17"/>
      <c r="V76" s="17"/>
      <c r="W76" s="17"/>
      <c r="X76" s="17"/>
      <c r="Y76" s="17"/>
      <c r="Z76" s="17"/>
    </row>
    <row r="77">
      <c r="A77" s="13">
        <v>45452.0</v>
      </c>
      <c r="B77" s="14">
        <v>2024.0</v>
      </c>
      <c r="C77" s="14">
        <v>6.0</v>
      </c>
      <c r="D77" s="14">
        <v>23.0</v>
      </c>
      <c r="E77" s="15">
        <v>529.0</v>
      </c>
      <c r="F77" s="15">
        <v>325.0</v>
      </c>
      <c r="G77" s="15">
        <v>289.0</v>
      </c>
      <c r="H77" s="15">
        <v>189.0</v>
      </c>
      <c r="I77" s="15">
        <v>359.0</v>
      </c>
      <c r="J77" s="16">
        <f t="shared" si="2"/>
        <v>0.944300614</v>
      </c>
      <c r="K77" s="16">
        <f t="shared" si="3"/>
        <v>0.8602634115</v>
      </c>
      <c r="L77" s="16">
        <f t="shared" si="4"/>
        <v>0.8534238823</v>
      </c>
      <c r="M77" s="16">
        <f t="shared" si="5"/>
        <v>0.8618917542</v>
      </c>
      <c r="N77" s="16">
        <f t="shared" si="6"/>
        <v>1.303308119</v>
      </c>
      <c r="O77" s="16">
        <f t="shared" si="7"/>
        <v>24.35665048</v>
      </c>
      <c r="P77" s="16">
        <f t="shared" si="8"/>
        <v>26.73599701</v>
      </c>
      <c r="Q77" s="16">
        <f t="shared" si="9"/>
        <v>26.95026525</v>
      </c>
      <c r="R77" s="16">
        <f t="shared" si="10"/>
        <v>17.64740024</v>
      </c>
      <c r="S77" s="16">
        <f t="shared" si="11"/>
        <v>17.64740024</v>
      </c>
      <c r="T77" s="17"/>
      <c r="U77" s="17"/>
      <c r="V77" s="17"/>
      <c r="W77" s="17"/>
      <c r="X77" s="17"/>
      <c r="Y77" s="17"/>
      <c r="Z77" s="17"/>
    </row>
    <row r="78">
      <c r="A78" s="13">
        <v>45459.0</v>
      </c>
      <c r="B78" s="14">
        <v>2024.0</v>
      </c>
      <c r="C78" s="14">
        <v>6.0</v>
      </c>
      <c r="D78" s="14">
        <v>24.0</v>
      </c>
      <c r="E78" s="15">
        <v>391.0</v>
      </c>
      <c r="F78" s="15">
        <v>551.0</v>
      </c>
      <c r="G78" s="15">
        <v>305.0</v>
      </c>
      <c r="H78" s="15">
        <v>232.0</v>
      </c>
      <c r="I78" s="15">
        <v>216.0</v>
      </c>
      <c r="J78" s="16">
        <f t="shared" si="2"/>
        <v>0.8519860936</v>
      </c>
      <c r="K78" s="16">
        <f t="shared" si="3"/>
        <v>0.8894956633</v>
      </c>
      <c r="L78" s="16">
        <f t="shared" si="4"/>
        <v>0.8905966104</v>
      </c>
      <c r="M78" s="16">
        <f t="shared" si="5"/>
        <v>0.9702301032</v>
      </c>
      <c r="N78" s="16">
        <f t="shared" si="6"/>
        <v>0.7305051068</v>
      </c>
      <c r="O78" s="16">
        <f t="shared" si="7"/>
        <v>28.16947387</v>
      </c>
      <c r="P78" s="16">
        <f t="shared" si="8"/>
        <v>26.9815818</v>
      </c>
      <c r="Q78" s="16">
        <f t="shared" si="9"/>
        <v>26.94822742</v>
      </c>
      <c r="R78" s="16">
        <f t="shared" si="10"/>
        <v>32.85397977</v>
      </c>
      <c r="S78" s="16">
        <f t="shared" si="11"/>
        <v>32.85397977</v>
      </c>
      <c r="T78" s="17"/>
      <c r="U78" s="17"/>
      <c r="V78" s="17"/>
      <c r="W78" s="17"/>
      <c r="X78" s="17"/>
      <c r="Y78" s="17"/>
      <c r="Z78" s="17"/>
    </row>
    <row r="79">
      <c r="A79" s="13">
        <v>45466.0</v>
      </c>
      <c r="B79" s="14">
        <v>2024.0</v>
      </c>
      <c r="C79" s="14">
        <v>6.0</v>
      </c>
      <c r="D79" s="14">
        <v>25.0</v>
      </c>
      <c r="E79" s="15">
        <v>277.0</v>
      </c>
      <c r="F79" s="15">
        <v>265.0</v>
      </c>
      <c r="G79" s="15">
        <v>377.0</v>
      </c>
      <c r="H79" s="15">
        <v>67.0</v>
      </c>
      <c r="I79" s="15">
        <v>263.0</v>
      </c>
      <c r="J79" s="16">
        <f t="shared" si="2"/>
        <v>0.5923515053</v>
      </c>
      <c r="K79" s="16">
        <f t="shared" si="3"/>
        <v>0.9423921191</v>
      </c>
      <c r="L79" s="16">
        <f t="shared" si="4"/>
        <v>0.9293182021</v>
      </c>
      <c r="M79" s="16">
        <f t="shared" si="5"/>
        <v>0.6789203204</v>
      </c>
      <c r="N79" s="16">
        <f t="shared" si="6"/>
        <v>0.85739185</v>
      </c>
      <c r="O79" s="16">
        <f t="shared" si="7"/>
        <v>42.20467033</v>
      </c>
      <c r="P79" s="16">
        <f t="shared" si="8"/>
        <v>26.52823543</v>
      </c>
      <c r="Q79" s="16">
        <f t="shared" si="9"/>
        <v>26.90144231</v>
      </c>
      <c r="R79" s="16">
        <f t="shared" si="10"/>
        <v>29.15819645</v>
      </c>
      <c r="S79" s="16">
        <f t="shared" si="11"/>
        <v>29.15819645</v>
      </c>
      <c r="T79" s="17"/>
      <c r="U79" s="17"/>
      <c r="V79" s="17"/>
      <c r="W79" s="17"/>
      <c r="X79" s="17"/>
      <c r="Y79" s="17"/>
      <c r="Z79" s="17"/>
    </row>
    <row r="80">
      <c r="A80" s="13">
        <v>45473.0</v>
      </c>
      <c r="B80" s="14">
        <v>2024.0</v>
      </c>
      <c r="C80" s="14">
        <v>6.0</v>
      </c>
      <c r="D80" s="14">
        <v>26.0</v>
      </c>
      <c r="E80" s="15">
        <v>588.0</v>
      </c>
      <c r="F80" s="15">
        <v>278.0</v>
      </c>
      <c r="G80" s="15">
        <v>344.0</v>
      </c>
      <c r="H80" s="15">
        <v>202.0</v>
      </c>
      <c r="I80" s="15">
        <v>394.0</v>
      </c>
      <c r="J80" s="16">
        <f t="shared" si="2"/>
        <v>1.145277018</v>
      </c>
      <c r="K80" s="16">
        <f t="shared" si="3"/>
        <v>0.766998608</v>
      </c>
      <c r="L80" s="16">
        <f t="shared" si="4"/>
        <v>0.8456795639</v>
      </c>
      <c r="M80" s="16">
        <f t="shared" si="5"/>
        <v>0.8185564146</v>
      </c>
      <c r="N80" s="16">
        <f t="shared" si="6"/>
        <v>1.071286646</v>
      </c>
      <c r="O80" s="16">
        <f t="shared" si="7"/>
        <v>22.70193115</v>
      </c>
      <c r="P80" s="16">
        <f t="shared" si="8"/>
        <v>33.89836661</v>
      </c>
      <c r="Q80" s="16">
        <f t="shared" si="9"/>
        <v>30.74450549</v>
      </c>
      <c r="R80" s="16">
        <f t="shared" si="10"/>
        <v>24.26988156</v>
      </c>
      <c r="S80" s="16">
        <f t="shared" si="11"/>
        <v>24.26988156</v>
      </c>
      <c r="T80" s="17"/>
      <c r="U80" s="17"/>
      <c r="V80" s="17"/>
      <c r="W80" s="17"/>
      <c r="X80" s="17"/>
      <c r="Y80" s="17"/>
      <c r="Z80" s="17"/>
    </row>
    <row r="81">
      <c r="A81" s="13">
        <v>45480.0</v>
      </c>
      <c r="B81" s="14">
        <v>2024.0</v>
      </c>
      <c r="C81" s="14">
        <v>7.0</v>
      </c>
      <c r="D81" s="14">
        <v>27.0</v>
      </c>
      <c r="E81" s="15">
        <v>696.0</v>
      </c>
      <c r="F81" s="15">
        <v>343.0</v>
      </c>
      <c r="G81" s="15">
        <v>287.0</v>
      </c>
      <c r="H81" s="15">
        <v>220.0</v>
      </c>
      <c r="I81" s="15">
        <v>239.0</v>
      </c>
      <c r="J81" s="16">
        <f t="shared" si="2"/>
        <v>1.055847326</v>
      </c>
      <c r="K81" s="16">
        <f t="shared" si="3"/>
        <v>1.050969055</v>
      </c>
      <c r="L81" s="16">
        <f t="shared" si="4"/>
        <v>0.9200250201</v>
      </c>
      <c r="M81" s="16">
        <f t="shared" si="5"/>
        <v>0.9726376221</v>
      </c>
      <c r="N81" s="16">
        <f t="shared" si="6"/>
        <v>0.7848851396</v>
      </c>
      <c r="O81" s="16">
        <f t="shared" si="7"/>
        <v>25.57187894</v>
      </c>
      <c r="P81" s="16">
        <f t="shared" si="8"/>
        <v>25.69057565</v>
      </c>
      <c r="Q81" s="16">
        <f t="shared" si="9"/>
        <v>29.34702797</v>
      </c>
      <c r="R81" s="16">
        <f t="shared" si="10"/>
        <v>34.39993782</v>
      </c>
      <c r="S81" s="16">
        <f t="shared" si="11"/>
        <v>34.39993782</v>
      </c>
      <c r="T81" s="17"/>
      <c r="U81" s="17"/>
      <c r="V81" s="17"/>
      <c r="W81" s="17"/>
      <c r="X81" s="17"/>
      <c r="Y81" s="17"/>
      <c r="Z81" s="17"/>
    </row>
    <row r="82">
      <c r="A82" s="13">
        <v>45487.0</v>
      </c>
      <c r="B82" s="14">
        <v>2024.0</v>
      </c>
      <c r="C82" s="14">
        <v>7.0</v>
      </c>
      <c r="D82" s="14">
        <v>28.0</v>
      </c>
      <c r="E82" s="15">
        <v>394.0</v>
      </c>
      <c r="F82" s="15">
        <v>288.0</v>
      </c>
      <c r="G82" s="15">
        <v>293.0</v>
      </c>
      <c r="H82" s="15">
        <v>168.0</v>
      </c>
      <c r="I82" s="15">
        <v>234.0</v>
      </c>
      <c r="J82" s="16">
        <f t="shared" si="2"/>
        <v>0.8202529773</v>
      </c>
      <c r="K82" s="16">
        <f t="shared" si="3"/>
        <v>0.9423921191</v>
      </c>
      <c r="L82" s="16">
        <f t="shared" si="4"/>
        <v>1.033092068</v>
      </c>
      <c r="M82" s="16">
        <f t="shared" si="5"/>
        <v>0.8281864901</v>
      </c>
      <c r="N82" s="16">
        <f t="shared" si="6"/>
        <v>0.9135845505</v>
      </c>
      <c r="O82" s="16">
        <f t="shared" si="7"/>
        <v>34.13581026</v>
      </c>
      <c r="P82" s="16">
        <f t="shared" si="8"/>
        <v>29.71162368</v>
      </c>
      <c r="Q82" s="16">
        <f t="shared" si="9"/>
        <v>27.1031023</v>
      </c>
      <c r="R82" s="16">
        <f t="shared" si="10"/>
        <v>30.64850427</v>
      </c>
      <c r="S82" s="16">
        <f t="shared" si="11"/>
        <v>30.64850427</v>
      </c>
      <c r="T82" s="17"/>
      <c r="U82" s="17"/>
      <c r="V82" s="17"/>
      <c r="W82" s="17"/>
      <c r="X82" s="17"/>
      <c r="Y82" s="17"/>
      <c r="Z82" s="17"/>
    </row>
    <row r="83">
      <c r="A83" s="13">
        <v>45494.0</v>
      </c>
      <c r="B83" s="14">
        <v>2024.0</v>
      </c>
      <c r="C83" s="14">
        <v>7.0</v>
      </c>
      <c r="D83" s="14">
        <v>29.0</v>
      </c>
      <c r="E83" s="15">
        <v>186.0</v>
      </c>
      <c r="F83" s="15">
        <v>299.0</v>
      </c>
      <c r="G83" s="15">
        <v>204.0</v>
      </c>
      <c r="H83" s="15">
        <v>45.0</v>
      </c>
      <c r="I83" s="15">
        <v>182.0</v>
      </c>
      <c r="J83" s="16">
        <f t="shared" si="2"/>
        <v>0.6365855463</v>
      </c>
      <c r="K83" s="16">
        <f t="shared" si="3"/>
        <v>0.963272299</v>
      </c>
      <c r="L83" s="16">
        <f t="shared" si="4"/>
        <v>0.6675602419</v>
      </c>
      <c r="M83" s="16">
        <f t="shared" si="5"/>
        <v>0.4815037733</v>
      </c>
      <c r="N83" s="16">
        <f t="shared" si="6"/>
        <v>0.7413811134</v>
      </c>
      <c r="O83" s="16">
        <f t="shared" si="7"/>
        <v>45.55554264</v>
      </c>
      <c r="P83" s="16">
        <f t="shared" si="8"/>
        <v>30.10571365</v>
      </c>
      <c r="Q83" s="16">
        <f t="shared" si="9"/>
        <v>43.44177226</v>
      </c>
      <c r="R83" s="16">
        <f t="shared" si="10"/>
        <v>39.11618394</v>
      </c>
      <c r="S83" s="16">
        <f t="shared" si="11"/>
        <v>39.11618394</v>
      </c>
      <c r="T83" s="17"/>
      <c r="U83" s="17"/>
      <c r="V83" s="17"/>
      <c r="W83" s="17"/>
      <c r="X83" s="17"/>
      <c r="Y83" s="17"/>
      <c r="Z83" s="17"/>
    </row>
    <row r="84">
      <c r="A84" s="13">
        <v>45501.0</v>
      </c>
      <c r="B84" s="14">
        <v>2024.0</v>
      </c>
      <c r="C84" s="14">
        <v>7.0</v>
      </c>
      <c r="D84" s="14">
        <v>30.0</v>
      </c>
      <c r="E84" s="15">
        <v>548.0</v>
      </c>
      <c r="F84" s="15">
        <v>290.0</v>
      </c>
      <c r="G84" s="15">
        <v>299.0</v>
      </c>
      <c r="H84" s="15">
        <v>141.0</v>
      </c>
      <c r="I84" s="15">
        <v>211.0</v>
      </c>
      <c r="J84" s="16">
        <f t="shared" si="2"/>
        <v>0.9846882166</v>
      </c>
      <c r="K84" s="16">
        <f t="shared" si="3"/>
        <v>0.7795267159</v>
      </c>
      <c r="L84" s="16">
        <f t="shared" si="4"/>
        <v>0.7852738808</v>
      </c>
      <c r="M84" s="16">
        <f t="shared" si="5"/>
        <v>0.5657669337</v>
      </c>
      <c r="N84" s="16">
        <f t="shared" si="6"/>
        <v>0.8555791822</v>
      </c>
      <c r="O84" s="16">
        <f t="shared" si="7"/>
        <v>30.46649639</v>
      </c>
      <c r="P84" s="16">
        <f t="shared" si="8"/>
        <v>38.48489011</v>
      </c>
      <c r="Q84" s="16">
        <f t="shared" si="9"/>
        <v>38.20323168</v>
      </c>
      <c r="R84" s="16">
        <f t="shared" si="10"/>
        <v>35.06396675</v>
      </c>
      <c r="S84" s="16">
        <f t="shared" si="11"/>
        <v>35.06396675</v>
      </c>
      <c r="T84" s="17"/>
      <c r="U84" s="17"/>
      <c r="V84" s="17"/>
      <c r="W84" s="17"/>
      <c r="X84" s="17"/>
      <c r="Y84" s="17"/>
      <c r="Z84" s="17"/>
    </row>
    <row r="85">
      <c r="A85" s="13">
        <v>45508.0</v>
      </c>
      <c r="B85" s="14">
        <v>2024.0</v>
      </c>
      <c r="C85" s="14">
        <v>8.0</v>
      </c>
      <c r="D85" s="14">
        <v>31.0</v>
      </c>
      <c r="E85" s="15">
        <v>516.0</v>
      </c>
      <c r="F85" s="15">
        <v>345.0</v>
      </c>
      <c r="G85" s="15">
        <v>356.0</v>
      </c>
      <c r="H85" s="15">
        <v>241.0</v>
      </c>
      <c r="I85" s="15">
        <v>192.0</v>
      </c>
      <c r="J85" s="16">
        <f t="shared" si="2"/>
        <v>0.9106442784</v>
      </c>
      <c r="K85" s="16">
        <f t="shared" si="3"/>
        <v>0.9312560231</v>
      </c>
      <c r="L85" s="16">
        <f t="shared" si="4"/>
        <v>1.293301165</v>
      </c>
      <c r="M85" s="16">
        <f t="shared" si="5"/>
        <v>1.052085745</v>
      </c>
      <c r="N85" s="16">
        <f t="shared" si="6"/>
        <v>0.7993864817</v>
      </c>
      <c r="O85" s="16">
        <f t="shared" si="7"/>
        <v>34.04183251</v>
      </c>
      <c r="P85" s="16">
        <f t="shared" si="8"/>
        <v>33.2883753</v>
      </c>
      <c r="Q85" s="16">
        <f t="shared" si="9"/>
        <v>23.96966836</v>
      </c>
      <c r="R85" s="16">
        <f t="shared" si="10"/>
        <v>38.7797401</v>
      </c>
      <c r="S85" s="16">
        <f t="shared" si="11"/>
        <v>38.7797401</v>
      </c>
      <c r="T85" s="17"/>
      <c r="U85" s="17"/>
      <c r="V85" s="17"/>
      <c r="W85" s="17"/>
      <c r="X85" s="17"/>
      <c r="Y85" s="17"/>
      <c r="Z85" s="17"/>
    </row>
    <row r="86">
      <c r="A86" s="13">
        <v>45515.0</v>
      </c>
      <c r="B86" s="14">
        <v>2024.0</v>
      </c>
      <c r="C86" s="14">
        <v>8.0</v>
      </c>
      <c r="D86" s="14">
        <v>32.0</v>
      </c>
      <c r="E86" s="15">
        <v>393.0</v>
      </c>
      <c r="F86" s="15">
        <v>407.0</v>
      </c>
      <c r="G86" s="15">
        <v>307.0</v>
      </c>
      <c r="H86" s="15">
        <v>166.0</v>
      </c>
      <c r="I86" s="15">
        <v>318.0</v>
      </c>
      <c r="J86" s="16">
        <f t="shared" si="2"/>
        <v>0.7529403062</v>
      </c>
      <c r="K86" s="16">
        <f t="shared" si="3"/>
        <v>1.016168755</v>
      </c>
      <c r="L86" s="16">
        <f t="shared" si="4"/>
        <v>0.9571977482</v>
      </c>
      <c r="M86" s="16">
        <f t="shared" si="5"/>
        <v>0.9606000278</v>
      </c>
      <c r="N86" s="16">
        <f t="shared" si="6"/>
        <v>1.103914665</v>
      </c>
      <c r="O86" s="16">
        <f t="shared" si="7"/>
        <v>42.50004912</v>
      </c>
      <c r="P86" s="16">
        <f t="shared" si="8"/>
        <v>31.49083246</v>
      </c>
      <c r="Q86" s="16">
        <f t="shared" si="9"/>
        <v>33.4309186</v>
      </c>
      <c r="R86" s="16">
        <f t="shared" si="10"/>
        <v>28.98774788</v>
      </c>
      <c r="S86" s="16">
        <f t="shared" si="11"/>
        <v>28.98774788</v>
      </c>
      <c r="T86" s="17"/>
      <c r="U86" s="17"/>
      <c r="V86" s="17"/>
      <c r="W86" s="17"/>
      <c r="X86" s="17"/>
      <c r="Y86" s="17"/>
      <c r="Z86" s="17"/>
    </row>
    <row r="87">
      <c r="A87" s="13">
        <v>45522.0</v>
      </c>
      <c r="B87" s="14">
        <v>2024.0</v>
      </c>
      <c r="C87" s="14">
        <v>8.0</v>
      </c>
      <c r="D87" s="14">
        <v>33.0</v>
      </c>
      <c r="E87" s="15">
        <v>770.0</v>
      </c>
      <c r="F87" s="15">
        <v>330.0</v>
      </c>
      <c r="G87" s="15">
        <v>398.0</v>
      </c>
      <c r="H87" s="15">
        <v>198.0</v>
      </c>
      <c r="I87" s="15">
        <v>252.0</v>
      </c>
      <c r="J87" s="16">
        <f t="shared" si="2"/>
        <v>1.191434278</v>
      </c>
      <c r="K87" s="16">
        <f t="shared" si="3"/>
        <v>0.963272299</v>
      </c>
      <c r="L87" s="16">
        <f t="shared" si="4"/>
        <v>0.8425818366</v>
      </c>
      <c r="M87" s="16">
        <f t="shared" si="5"/>
        <v>1.023195518</v>
      </c>
      <c r="N87" s="16">
        <f t="shared" si="6"/>
        <v>0.7866978074</v>
      </c>
      <c r="O87" s="16">
        <f t="shared" si="7"/>
        <v>27.69770907</v>
      </c>
      <c r="P87" s="16">
        <f t="shared" si="8"/>
        <v>34.25822588</v>
      </c>
      <c r="Q87" s="16">
        <f t="shared" si="9"/>
        <v>39.16533512</v>
      </c>
      <c r="R87" s="16">
        <f t="shared" si="10"/>
        <v>41.94749202</v>
      </c>
      <c r="S87" s="16">
        <f t="shared" si="11"/>
        <v>41.94749202</v>
      </c>
      <c r="T87" s="17"/>
      <c r="U87" s="17"/>
      <c r="V87" s="17"/>
      <c r="W87" s="17"/>
      <c r="X87" s="17"/>
      <c r="Y87" s="17"/>
      <c r="Z87" s="17"/>
    </row>
    <row r="88">
      <c r="A88" s="13">
        <v>45529.0</v>
      </c>
      <c r="B88" s="14">
        <v>2024.0</v>
      </c>
      <c r="C88" s="14">
        <v>8.0</v>
      </c>
      <c r="D88" s="14">
        <v>34.0</v>
      </c>
      <c r="E88" s="15">
        <v>542.0</v>
      </c>
      <c r="F88" s="15">
        <v>480.0</v>
      </c>
      <c r="G88" s="15">
        <v>345.0</v>
      </c>
      <c r="H88" s="15">
        <v>217.0</v>
      </c>
      <c r="I88" s="15">
        <v>303.0</v>
      </c>
      <c r="J88" s="16">
        <f t="shared" si="2"/>
        <v>1.06930986</v>
      </c>
      <c r="K88" s="16">
        <f t="shared" si="3"/>
        <v>1.133097762</v>
      </c>
      <c r="L88" s="16">
        <f t="shared" si="4"/>
        <v>0.8673636553</v>
      </c>
      <c r="M88" s="16">
        <f t="shared" si="5"/>
        <v>0.9894902542</v>
      </c>
      <c r="N88" s="16">
        <f t="shared" si="6"/>
        <v>1.054972636</v>
      </c>
      <c r="O88" s="16">
        <f t="shared" si="7"/>
        <v>31.79620919</v>
      </c>
      <c r="P88" s="16">
        <f t="shared" si="8"/>
        <v>30.00623701</v>
      </c>
      <c r="Q88" s="16">
        <f t="shared" si="9"/>
        <v>39.19924451</v>
      </c>
      <c r="R88" s="16">
        <f t="shared" si="10"/>
        <v>32.22832408</v>
      </c>
      <c r="S88" s="16">
        <f t="shared" si="11"/>
        <v>32.22832408</v>
      </c>
      <c r="T88" s="17"/>
      <c r="U88" s="17"/>
      <c r="V88" s="17"/>
      <c r="W88" s="17"/>
      <c r="X88" s="17"/>
      <c r="Y88" s="17"/>
      <c r="Z88" s="17"/>
    </row>
    <row r="89">
      <c r="A89" s="13">
        <v>45536.0</v>
      </c>
      <c r="B89" s="14">
        <v>2024.0</v>
      </c>
      <c r="C89" s="14">
        <v>9.0</v>
      </c>
      <c r="D89" s="14">
        <v>35.0</v>
      </c>
      <c r="E89" s="15">
        <v>412.0</v>
      </c>
      <c r="F89" s="15">
        <v>315.0</v>
      </c>
      <c r="G89" s="15">
        <v>391.0</v>
      </c>
      <c r="H89" s="15">
        <v>211.0</v>
      </c>
      <c r="I89" s="15">
        <v>275.0</v>
      </c>
      <c r="J89" s="16">
        <f t="shared" si="2"/>
        <v>1.085657223</v>
      </c>
      <c r="K89" s="16">
        <f t="shared" si="3"/>
        <v>0.9242959632</v>
      </c>
      <c r="L89" s="16">
        <f t="shared" si="4"/>
        <v>0.9897238853</v>
      </c>
      <c r="M89" s="16">
        <f t="shared" si="5"/>
        <v>0.6283624242</v>
      </c>
      <c r="N89" s="16">
        <f t="shared" si="6"/>
        <v>0.9824659253</v>
      </c>
      <c r="O89" s="16">
        <f t="shared" si="7"/>
        <v>32.23853649</v>
      </c>
      <c r="P89" s="16">
        <f t="shared" si="8"/>
        <v>37.86665894</v>
      </c>
      <c r="Q89" s="16">
        <f t="shared" si="9"/>
        <v>35.36339834</v>
      </c>
      <c r="R89" s="16">
        <f t="shared" si="10"/>
        <v>35.62464519</v>
      </c>
      <c r="S89" s="16">
        <f t="shared" si="11"/>
        <v>35.62464519</v>
      </c>
      <c r="T89" s="17"/>
      <c r="U89" s="17"/>
      <c r="V89" s="17"/>
      <c r="W89" s="17"/>
      <c r="X89" s="17"/>
      <c r="Y89" s="17"/>
      <c r="Z89" s="17"/>
    </row>
    <row r="90">
      <c r="A90" s="13">
        <v>45543.0</v>
      </c>
      <c r="B90" s="14">
        <v>2024.0</v>
      </c>
      <c r="C90" s="14">
        <v>9.0</v>
      </c>
      <c r="D90" s="14">
        <v>36.0</v>
      </c>
      <c r="E90" s="15">
        <v>570.0</v>
      </c>
      <c r="F90" s="15">
        <v>410.0</v>
      </c>
      <c r="G90" s="15">
        <v>95.0</v>
      </c>
      <c r="H90" s="15">
        <v>183.0</v>
      </c>
      <c r="I90" s="15">
        <v>273.0</v>
      </c>
      <c r="J90" s="16">
        <f t="shared" si="2"/>
        <v>0.9885346549</v>
      </c>
      <c r="K90" s="16">
        <f t="shared" si="3"/>
        <v>0.960488275</v>
      </c>
      <c r="L90" s="16">
        <f t="shared" si="4"/>
        <v>0.5482977393</v>
      </c>
      <c r="M90" s="16">
        <f t="shared" si="5"/>
        <v>1.124311311</v>
      </c>
      <c r="N90" s="16">
        <f t="shared" si="6"/>
        <v>0.9860912608</v>
      </c>
      <c r="O90" s="16">
        <f t="shared" si="7"/>
        <v>36.41753966</v>
      </c>
      <c r="P90" s="16">
        <f t="shared" si="8"/>
        <v>37.48093645</v>
      </c>
      <c r="Q90" s="16">
        <f t="shared" si="9"/>
        <v>65.6577575</v>
      </c>
      <c r="R90" s="16">
        <f t="shared" si="10"/>
        <v>36.50777715</v>
      </c>
      <c r="S90" s="16">
        <f t="shared" si="11"/>
        <v>36.50777715</v>
      </c>
      <c r="T90" s="17"/>
      <c r="U90" s="17"/>
      <c r="V90" s="17"/>
      <c r="W90" s="17"/>
      <c r="X90" s="17"/>
      <c r="Y90" s="17"/>
      <c r="Z90" s="17"/>
    </row>
    <row r="91">
      <c r="A91" s="13">
        <v>45550.0</v>
      </c>
      <c r="B91" s="14">
        <v>2024.0</v>
      </c>
      <c r="C91" s="14">
        <v>9.0</v>
      </c>
      <c r="D91" s="14">
        <v>37.0</v>
      </c>
      <c r="E91" s="15">
        <v>521.0</v>
      </c>
      <c r="F91" s="15">
        <v>410.0</v>
      </c>
      <c r="G91" s="15">
        <v>248.0</v>
      </c>
      <c r="H91" s="15">
        <v>60.0</v>
      </c>
      <c r="I91" s="15">
        <v>266.0</v>
      </c>
      <c r="J91" s="16">
        <f t="shared" si="2"/>
        <v>1.00007397</v>
      </c>
      <c r="K91" s="16">
        <f t="shared" si="3"/>
        <v>0.9270799872</v>
      </c>
      <c r="L91" s="16">
        <f t="shared" si="4"/>
        <v>1.141512525</v>
      </c>
      <c r="M91" s="16">
        <f t="shared" si="5"/>
        <v>0.6596601695</v>
      </c>
      <c r="N91" s="16">
        <f t="shared" si="6"/>
        <v>1.141980688</v>
      </c>
      <c r="O91" s="16">
        <f t="shared" si="7"/>
        <v>36.99726331</v>
      </c>
      <c r="P91" s="16">
        <f t="shared" si="8"/>
        <v>39.91025641</v>
      </c>
      <c r="Q91" s="16">
        <f t="shared" si="9"/>
        <v>32.41313537</v>
      </c>
      <c r="R91" s="16">
        <f t="shared" si="10"/>
        <v>32.39984737</v>
      </c>
      <c r="S91" s="16">
        <f t="shared" si="11"/>
        <v>32.39984737</v>
      </c>
      <c r="T91" s="17"/>
      <c r="U91" s="17"/>
      <c r="V91" s="17"/>
      <c r="W91" s="17"/>
      <c r="X91" s="17"/>
      <c r="Y91" s="17"/>
      <c r="Z91" s="17"/>
    </row>
    <row r="92">
      <c r="A92" s="13">
        <v>45557.0</v>
      </c>
      <c r="B92" s="14">
        <v>2024.0</v>
      </c>
      <c r="C92" s="14">
        <v>9.0</v>
      </c>
      <c r="D92" s="14">
        <v>38.0</v>
      </c>
      <c r="E92" s="15">
        <v>607.0</v>
      </c>
      <c r="F92" s="15">
        <v>304.0</v>
      </c>
      <c r="G92" s="15">
        <v>380.0</v>
      </c>
      <c r="H92" s="15">
        <v>238.0</v>
      </c>
      <c r="I92" s="15">
        <v>228.0</v>
      </c>
      <c r="J92" s="16">
        <f t="shared" si="2"/>
        <v>0.9241068126</v>
      </c>
      <c r="K92" s="16">
        <f t="shared" si="3"/>
        <v>1.08994539</v>
      </c>
      <c r="L92" s="16">
        <f t="shared" si="4"/>
        <v>1.157001162</v>
      </c>
      <c r="M92" s="16">
        <f t="shared" si="5"/>
        <v>0.9702301032</v>
      </c>
      <c r="N92" s="16">
        <f t="shared" si="6"/>
        <v>1.044096629</v>
      </c>
      <c r="O92" s="16">
        <f t="shared" si="7"/>
        <v>41.12078764</v>
      </c>
      <c r="P92" s="16">
        <f t="shared" si="8"/>
        <v>34.86413204</v>
      </c>
      <c r="Q92" s="16">
        <f t="shared" si="9"/>
        <v>32.84352796</v>
      </c>
      <c r="R92" s="16">
        <f t="shared" si="10"/>
        <v>36.39509882</v>
      </c>
      <c r="S92" s="16">
        <f t="shared" si="11"/>
        <v>36.39509882</v>
      </c>
      <c r="T92" s="17"/>
      <c r="U92" s="17"/>
      <c r="V92" s="17"/>
      <c r="W92" s="17"/>
      <c r="X92" s="17"/>
      <c r="Y92" s="17"/>
      <c r="Z92" s="17"/>
    </row>
    <row r="93">
      <c r="A93" s="13">
        <v>45564.0</v>
      </c>
      <c r="B93" s="14">
        <v>2024.0</v>
      </c>
      <c r="C93" s="14">
        <v>9.0</v>
      </c>
      <c r="D93" s="14">
        <v>39.0</v>
      </c>
      <c r="E93" s="15">
        <v>659.0</v>
      </c>
      <c r="F93" s="15">
        <v>402.0</v>
      </c>
      <c r="G93" s="15">
        <v>417.0</v>
      </c>
      <c r="H93" s="15">
        <v>230.0</v>
      </c>
      <c r="I93" s="15">
        <v>382.0</v>
      </c>
      <c r="J93" s="16">
        <f t="shared" si="2"/>
        <v>1.182779791</v>
      </c>
      <c r="K93" s="16">
        <f t="shared" si="3"/>
        <v>0.949352179</v>
      </c>
      <c r="L93" s="16">
        <f t="shared" si="4"/>
        <v>1.082655705</v>
      </c>
      <c r="M93" s="16">
        <f t="shared" si="5"/>
        <v>1.078568452</v>
      </c>
      <c r="N93" s="16">
        <f t="shared" si="6"/>
        <v>1.181859379</v>
      </c>
      <c r="O93" s="16">
        <f t="shared" si="7"/>
        <v>32.97317073</v>
      </c>
      <c r="P93" s="16">
        <f t="shared" si="8"/>
        <v>41.08064516</v>
      </c>
      <c r="Q93" s="16">
        <f t="shared" si="9"/>
        <v>36.02253219</v>
      </c>
      <c r="R93" s="16">
        <f t="shared" si="10"/>
        <v>32.99884969</v>
      </c>
      <c r="S93" s="16">
        <f t="shared" si="11"/>
        <v>32.99884969</v>
      </c>
      <c r="T93" s="17"/>
      <c r="U93" s="17"/>
      <c r="V93" s="17"/>
      <c r="W93" s="17"/>
      <c r="X93" s="17"/>
      <c r="Y93" s="17"/>
      <c r="Z93" s="17"/>
    </row>
    <row r="94">
      <c r="A94" s="13">
        <v>45571.0</v>
      </c>
      <c r="B94" s="14">
        <v>2024.0</v>
      </c>
      <c r="C94" s="14">
        <v>10.0</v>
      </c>
      <c r="D94" s="14">
        <v>40.0</v>
      </c>
      <c r="E94" s="15">
        <v>435.0</v>
      </c>
      <c r="F94" s="15">
        <v>334.0</v>
      </c>
      <c r="G94" s="15">
        <v>314.0</v>
      </c>
      <c r="H94" s="15">
        <v>250.0</v>
      </c>
      <c r="I94" s="15">
        <v>223.0</v>
      </c>
      <c r="J94" s="16">
        <f t="shared" si="2"/>
        <v>0.827945854</v>
      </c>
      <c r="K94" s="16">
        <f t="shared" si="3"/>
        <v>1.028696863</v>
      </c>
      <c r="L94" s="16">
        <f t="shared" si="4"/>
        <v>1.143061389</v>
      </c>
      <c r="M94" s="16">
        <f t="shared" si="5"/>
        <v>1.073753415</v>
      </c>
      <c r="N94" s="16">
        <f t="shared" si="6"/>
        <v>0.8175131593</v>
      </c>
      <c r="O94" s="16">
        <f t="shared" si="7"/>
        <v>48.31233807</v>
      </c>
      <c r="P94" s="16">
        <f t="shared" si="8"/>
        <v>38.88414698</v>
      </c>
      <c r="Q94" s="16">
        <f t="shared" si="9"/>
        <v>34.99374609</v>
      </c>
      <c r="R94" s="16">
        <f t="shared" si="10"/>
        <v>48.928876</v>
      </c>
      <c r="S94" s="16">
        <f t="shared" si="11"/>
        <v>48.928876</v>
      </c>
      <c r="T94" s="17"/>
      <c r="U94" s="17"/>
      <c r="V94" s="17"/>
      <c r="W94" s="17"/>
      <c r="X94" s="17"/>
      <c r="Y94" s="17"/>
      <c r="Z94" s="17"/>
    </row>
    <row r="95">
      <c r="A95" s="13">
        <v>45578.0</v>
      </c>
      <c r="B95" s="14">
        <v>2024.0</v>
      </c>
      <c r="C95" s="14">
        <v>10.0</v>
      </c>
      <c r="D95" s="14">
        <v>41.0</v>
      </c>
      <c r="E95" s="15">
        <v>475.0</v>
      </c>
      <c r="F95" s="15">
        <v>318.0</v>
      </c>
      <c r="G95" s="15">
        <v>320.0</v>
      </c>
      <c r="H95" s="15">
        <v>300.0</v>
      </c>
      <c r="I95" s="15">
        <v>315.0</v>
      </c>
      <c r="J95" s="16">
        <f t="shared" si="2"/>
        <v>0.9577631482</v>
      </c>
      <c r="K95" s="16">
        <f t="shared" si="3"/>
        <v>0.7892707999</v>
      </c>
      <c r="L95" s="16">
        <f t="shared" si="4"/>
        <v>0.9835284306</v>
      </c>
      <c r="M95" s="16">
        <f t="shared" si="5"/>
        <v>1.225427103</v>
      </c>
      <c r="N95" s="16">
        <f t="shared" si="6"/>
        <v>1.025969952</v>
      </c>
      <c r="O95" s="16">
        <f t="shared" si="7"/>
        <v>42.80807847</v>
      </c>
      <c r="P95" s="16">
        <f t="shared" si="8"/>
        <v>51.94668295</v>
      </c>
      <c r="Q95" s="16">
        <f t="shared" si="9"/>
        <v>41.68664446</v>
      </c>
      <c r="R95" s="16">
        <f t="shared" si="10"/>
        <v>39.96218402</v>
      </c>
      <c r="S95" s="16">
        <f t="shared" si="11"/>
        <v>39.96218402</v>
      </c>
      <c r="T95" s="17"/>
      <c r="U95" s="17"/>
      <c r="V95" s="17"/>
      <c r="W95" s="17"/>
      <c r="X95" s="17"/>
      <c r="Y95" s="17"/>
      <c r="Z95" s="17"/>
    </row>
    <row r="96">
      <c r="A96" s="13">
        <v>45585.0</v>
      </c>
      <c r="B96" s="14">
        <v>2024.0</v>
      </c>
      <c r="C96" s="14">
        <v>10.0</v>
      </c>
      <c r="D96" s="14">
        <v>42.0</v>
      </c>
      <c r="E96" s="15">
        <v>495.0</v>
      </c>
      <c r="F96" s="15">
        <v>352.0</v>
      </c>
      <c r="G96" s="15">
        <v>249.0</v>
      </c>
      <c r="H96" s="15">
        <v>186.0</v>
      </c>
      <c r="I96" s="15">
        <v>236.0</v>
      </c>
      <c r="J96" s="16">
        <f t="shared" si="2"/>
        <v>0.9221835935</v>
      </c>
      <c r="K96" s="16">
        <f t="shared" si="3"/>
        <v>0.8686154835</v>
      </c>
      <c r="L96" s="16">
        <f t="shared" si="4"/>
        <v>0.9045363834</v>
      </c>
      <c r="M96" s="16">
        <f t="shared" si="5"/>
        <v>0.8811519052</v>
      </c>
      <c r="N96" s="16">
        <f t="shared" si="6"/>
        <v>0.7123784293</v>
      </c>
      <c r="O96" s="16">
        <f t="shared" si="7"/>
        <v>45.54407636</v>
      </c>
      <c r="P96" s="16">
        <f t="shared" si="8"/>
        <v>48.35281065</v>
      </c>
      <c r="Q96" s="16">
        <f t="shared" si="9"/>
        <v>46.43262645</v>
      </c>
      <c r="R96" s="16">
        <f t="shared" si="10"/>
        <v>58.95742807</v>
      </c>
      <c r="S96" s="16">
        <f t="shared" si="11"/>
        <v>58.95742807</v>
      </c>
      <c r="T96" s="17"/>
      <c r="U96" s="17"/>
      <c r="V96" s="17"/>
      <c r="W96" s="17"/>
      <c r="X96" s="17"/>
      <c r="Y96" s="17"/>
      <c r="Z96" s="17"/>
    </row>
    <row r="97">
      <c r="A97" s="13">
        <v>45592.0</v>
      </c>
      <c r="B97" s="14">
        <v>2024.0</v>
      </c>
      <c r="C97" s="14">
        <v>10.0</v>
      </c>
      <c r="D97" s="14">
        <v>43.0</v>
      </c>
      <c r="E97" s="15">
        <v>513.0</v>
      </c>
      <c r="F97" s="15">
        <v>383.0</v>
      </c>
      <c r="G97" s="15">
        <v>455.0</v>
      </c>
      <c r="H97" s="15">
        <v>238.0</v>
      </c>
      <c r="I97" s="15">
        <v>349.0</v>
      </c>
      <c r="J97" s="16">
        <f t="shared" si="2"/>
        <v>0.8904504771</v>
      </c>
      <c r="K97" s="16">
        <f t="shared" si="3"/>
        <v>1.023128815</v>
      </c>
      <c r="L97" s="16">
        <f t="shared" si="4"/>
        <v>1.279361392</v>
      </c>
      <c r="M97" s="16">
        <f t="shared" si="5"/>
        <v>1.357840641</v>
      </c>
      <c r="N97" s="16">
        <f t="shared" si="6"/>
        <v>1.102101997</v>
      </c>
      <c r="O97" s="16">
        <f t="shared" si="7"/>
        <v>48.29016448</v>
      </c>
      <c r="P97" s="16">
        <f t="shared" si="8"/>
        <v>42.02794349</v>
      </c>
      <c r="Q97" s="16">
        <f t="shared" si="9"/>
        <v>33.61051872</v>
      </c>
      <c r="R97" s="16">
        <f t="shared" si="10"/>
        <v>39.01635248</v>
      </c>
      <c r="S97" s="16">
        <f t="shared" si="11"/>
        <v>39.01635248</v>
      </c>
      <c r="T97" s="17"/>
      <c r="U97" s="17"/>
      <c r="V97" s="17"/>
      <c r="W97" s="17"/>
      <c r="X97" s="17"/>
      <c r="Y97" s="17"/>
      <c r="Z97" s="17"/>
    </row>
    <row r="98">
      <c r="A98" s="13">
        <v>45599.0</v>
      </c>
      <c r="B98" s="14">
        <v>2024.0</v>
      </c>
      <c r="C98" s="14">
        <v>11.0</v>
      </c>
      <c r="D98" s="14">
        <v>44.0</v>
      </c>
      <c r="E98" s="15">
        <v>585.0</v>
      </c>
      <c r="F98" s="15">
        <v>589.0</v>
      </c>
      <c r="G98" s="15">
        <v>449.0</v>
      </c>
      <c r="H98" s="15">
        <v>489.0</v>
      </c>
      <c r="I98" s="15">
        <v>324.0</v>
      </c>
      <c r="J98" s="16">
        <f t="shared" si="2"/>
        <v>1.207781641</v>
      </c>
      <c r="K98" s="16">
        <f t="shared" si="3"/>
        <v>1.407324125</v>
      </c>
      <c r="L98" s="16">
        <f t="shared" si="4"/>
        <v>1.415661395</v>
      </c>
      <c r="M98" s="16">
        <f t="shared" si="5"/>
        <v>1.781563961</v>
      </c>
      <c r="N98" s="16">
        <f t="shared" si="6"/>
        <v>1.201798724</v>
      </c>
      <c r="O98" s="16">
        <f t="shared" si="7"/>
        <v>36.43042626</v>
      </c>
      <c r="P98" s="16">
        <f t="shared" si="8"/>
        <v>31.26500799</v>
      </c>
      <c r="Q98" s="16">
        <f t="shared" si="9"/>
        <v>31.08087864</v>
      </c>
      <c r="R98" s="16">
        <f t="shared" si="10"/>
        <v>36.61178791</v>
      </c>
      <c r="S98" s="16">
        <f t="shared" si="11"/>
        <v>36.61178791</v>
      </c>
      <c r="T98" s="17"/>
      <c r="U98" s="17"/>
      <c r="V98" s="17"/>
      <c r="W98" s="17"/>
      <c r="X98" s="17"/>
      <c r="Y98" s="17"/>
      <c r="Z98" s="17"/>
    </row>
    <row r="99">
      <c r="A99" s="13">
        <v>45606.0</v>
      </c>
      <c r="B99" s="14">
        <v>2024.0</v>
      </c>
      <c r="C99" s="14">
        <v>11.0</v>
      </c>
      <c r="D99" s="14">
        <v>45.0</v>
      </c>
      <c r="E99" s="15">
        <v>790.0</v>
      </c>
      <c r="F99" s="15">
        <v>490.0</v>
      </c>
      <c r="G99" s="15">
        <v>317.0</v>
      </c>
      <c r="H99" s="15">
        <v>333.0</v>
      </c>
      <c r="I99" s="15">
        <v>290.0</v>
      </c>
      <c r="J99" s="16">
        <f t="shared" si="2"/>
        <v>1.523189585</v>
      </c>
      <c r="K99" s="16">
        <f t="shared" si="3"/>
        <v>1.59246172</v>
      </c>
      <c r="L99" s="16">
        <f t="shared" si="4"/>
        <v>1.172489798</v>
      </c>
      <c r="M99" s="16">
        <f t="shared" si="5"/>
        <v>1.478216584</v>
      </c>
      <c r="N99" s="16">
        <f t="shared" si="6"/>
        <v>1.10028933</v>
      </c>
      <c r="O99" s="16">
        <f t="shared" si="7"/>
        <v>29.54326923</v>
      </c>
      <c r="P99" s="16">
        <f t="shared" si="8"/>
        <v>28.25813609</v>
      </c>
      <c r="Q99" s="16">
        <f t="shared" si="9"/>
        <v>38.37986485</v>
      </c>
      <c r="R99" s="16">
        <f t="shared" si="10"/>
        <v>40.89833354</v>
      </c>
      <c r="S99" s="16">
        <f t="shared" si="11"/>
        <v>40.89833354</v>
      </c>
      <c r="T99" s="17"/>
      <c r="U99" s="17"/>
      <c r="V99" s="17"/>
      <c r="W99" s="17"/>
      <c r="X99" s="17"/>
      <c r="Y99" s="17"/>
      <c r="Z99" s="17"/>
    </row>
    <row r="100">
      <c r="A100" s="13">
        <v>45613.0</v>
      </c>
      <c r="B100" s="14">
        <v>2024.0</v>
      </c>
      <c r="C100" s="14">
        <v>11.0</v>
      </c>
      <c r="D100" s="14">
        <v>46.0</v>
      </c>
      <c r="E100" s="15">
        <v>596.0</v>
      </c>
      <c r="F100" s="15">
        <v>470.0</v>
      </c>
      <c r="G100" s="15">
        <v>595.0</v>
      </c>
      <c r="H100" s="15">
        <v>221.0</v>
      </c>
      <c r="I100" s="15">
        <v>413.0</v>
      </c>
      <c r="J100" s="16">
        <f t="shared" si="2"/>
        <v>1.141430579</v>
      </c>
      <c r="K100" s="16">
        <f t="shared" si="3"/>
        <v>1.421244245</v>
      </c>
      <c r="L100" s="16">
        <f t="shared" si="4"/>
        <v>1.576743216</v>
      </c>
      <c r="M100" s="16">
        <f t="shared" si="5"/>
        <v>1.480624103</v>
      </c>
      <c r="N100" s="16">
        <f t="shared" si="6"/>
        <v>1.337748806</v>
      </c>
      <c r="O100" s="16">
        <f t="shared" si="7"/>
        <v>40.30030458</v>
      </c>
      <c r="P100" s="16">
        <f t="shared" si="8"/>
        <v>32.36600618</v>
      </c>
      <c r="Q100" s="16">
        <f t="shared" si="9"/>
        <v>29.17405924</v>
      </c>
      <c r="R100" s="16">
        <f t="shared" si="10"/>
        <v>34.38612675</v>
      </c>
      <c r="S100" s="16">
        <f t="shared" si="11"/>
        <v>34.38612675</v>
      </c>
      <c r="T100" s="17"/>
      <c r="U100" s="17"/>
      <c r="V100" s="17"/>
      <c r="W100" s="17"/>
      <c r="X100" s="17"/>
      <c r="Y100" s="17"/>
      <c r="Z100" s="17"/>
    </row>
    <row r="101">
      <c r="A101" s="13">
        <v>45620.0</v>
      </c>
      <c r="B101" s="14">
        <v>2024.0</v>
      </c>
      <c r="C101" s="14">
        <v>11.0</v>
      </c>
      <c r="D101" s="14">
        <v>47.0</v>
      </c>
      <c r="E101" s="15">
        <v>728.0</v>
      </c>
      <c r="F101" s="15">
        <v>561.0</v>
      </c>
      <c r="G101" s="15">
        <v>593.0</v>
      </c>
      <c r="H101" s="15">
        <v>287.0</v>
      </c>
      <c r="I101" s="15">
        <v>487.0</v>
      </c>
      <c r="J101" s="16">
        <f t="shared" si="2"/>
        <v>1.221244175</v>
      </c>
      <c r="K101" s="16">
        <f t="shared" si="3"/>
        <v>1.492236856</v>
      </c>
      <c r="L101" s="16">
        <f t="shared" si="4"/>
        <v>1.655735263</v>
      </c>
      <c r="M101" s="16">
        <f t="shared" si="5"/>
        <v>1.162831613</v>
      </c>
      <c r="N101" s="16">
        <f t="shared" si="6"/>
        <v>1.635026319</v>
      </c>
      <c r="O101" s="16">
        <f t="shared" si="7"/>
        <v>38.48534222</v>
      </c>
      <c r="P101" s="16">
        <f t="shared" si="8"/>
        <v>31.49634041</v>
      </c>
      <c r="Q101" s="16">
        <f t="shared" si="9"/>
        <v>28.38618047</v>
      </c>
      <c r="R101" s="16">
        <f t="shared" si="10"/>
        <v>28.74571465</v>
      </c>
      <c r="S101" s="16">
        <f t="shared" si="11"/>
        <v>28.74571465</v>
      </c>
      <c r="T101" s="17"/>
      <c r="U101" s="17"/>
      <c r="V101" s="17"/>
      <c r="W101" s="17"/>
      <c r="X101" s="17"/>
      <c r="Y101" s="17"/>
      <c r="Z101" s="17"/>
    </row>
    <row r="102">
      <c r="A102" s="13">
        <v>45627.0</v>
      </c>
      <c r="B102" s="14">
        <v>2024.0</v>
      </c>
      <c r="C102" s="14">
        <v>12.0</v>
      </c>
      <c r="D102" s="14">
        <v>48.0</v>
      </c>
      <c r="E102" s="15">
        <v>825.0</v>
      </c>
      <c r="F102" s="15">
        <v>380.0</v>
      </c>
      <c r="G102" s="15">
        <v>346.0</v>
      </c>
      <c r="H102" s="15">
        <v>191.0</v>
      </c>
      <c r="I102" s="15">
        <v>360.0</v>
      </c>
      <c r="J102" s="16">
        <f t="shared" si="2"/>
        <v>1.964568385</v>
      </c>
      <c r="K102" s="16">
        <f t="shared" si="3"/>
        <v>1.170682086</v>
      </c>
      <c r="L102" s="16">
        <f t="shared" si="4"/>
        <v>1.192625026</v>
      </c>
      <c r="M102" s="16">
        <f t="shared" si="5"/>
        <v>1.12671883</v>
      </c>
      <c r="N102" s="16">
        <f t="shared" si="6"/>
        <v>1.413880852</v>
      </c>
      <c r="O102" s="16">
        <f t="shared" si="7"/>
        <v>24.43284762</v>
      </c>
      <c r="P102" s="16">
        <f t="shared" si="8"/>
        <v>41.00173786</v>
      </c>
      <c r="Q102" s="16">
        <f t="shared" si="9"/>
        <v>40.24735265</v>
      </c>
      <c r="R102" s="16">
        <f t="shared" si="10"/>
        <v>33.94911243</v>
      </c>
      <c r="S102" s="16">
        <f t="shared" si="11"/>
        <v>33.94911243</v>
      </c>
      <c r="T102" s="17"/>
      <c r="U102" s="17"/>
      <c r="V102" s="17"/>
      <c r="W102" s="17"/>
      <c r="X102" s="17"/>
      <c r="Y102" s="17"/>
      <c r="Z102" s="17"/>
    </row>
    <row r="103">
      <c r="A103" s="13">
        <v>45634.0</v>
      </c>
      <c r="B103" s="14">
        <v>2024.0</v>
      </c>
      <c r="C103" s="14">
        <v>12.0</v>
      </c>
      <c r="D103" s="14">
        <v>49.0</v>
      </c>
      <c r="E103" s="15">
        <v>658.0</v>
      </c>
      <c r="F103" s="15">
        <v>599.0</v>
      </c>
      <c r="G103" s="15">
        <v>478.0</v>
      </c>
      <c r="H103" s="15">
        <v>283.0</v>
      </c>
      <c r="I103" s="15">
        <v>498.0</v>
      </c>
      <c r="J103" s="16">
        <f t="shared" si="2"/>
        <v>1.198165545</v>
      </c>
      <c r="K103" s="16">
        <f t="shared" si="3"/>
        <v>1.468572652</v>
      </c>
      <c r="L103" s="16">
        <f t="shared" si="4"/>
        <v>1.740922765</v>
      </c>
      <c r="M103" s="16">
        <f t="shared" si="5"/>
        <v>1.230242141</v>
      </c>
      <c r="N103" s="16">
        <f t="shared" si="6"/>
        <v>1.364938822</v>
      </c>
      <c r="O103" s="16">
        <f t="shared" si="7"/>
        <v>40.89585134</v>
      </c>
      <c r="P103" s="16">
        <f t="shared" si="8"/>
        <v>33.36573095</v>
      </c>
      <c r="Q103" s="16">
        <f t="shared" si="9"/>
        <v>28.14599302</v>
      </c>
      <c r="R103" s="16">
        <f t="shared" si="10"/>
        <v>35.89904485</v>
      </c>
      <c r="S103" s="16">
        <f t="shared" si="11"/>
        <v>35.89904485</v>
      </c>
      <c r="T103" s="17"/>
      <c r="U103" s="17"/>
      <c r="V103" s="17"/>
      <c r="W103" s="17"/>
      <c r="X103" s="17"/>
      <c r="Y103" s="17"/>
      <c r="Z103" s="17"/>
    </row>
    <row r="104">
      <c r="A104" s="13">
        <v>45641.0</v>
      </c>
      <c r="B104" s="14">
        <v>2024.0</v>
      </c>
      <c r="C104" s="14">
        <v>12.0</v>
      </c>
      <c r="D104" s="14">
        <v>50.0</v>
      </c>
      <c r="E104" s="15">
        <v>666.0</v>
      </c>
      <c r="F104" s="15">
        <v>534.0</v>
      </c>
      <c r="G104" s="15">
        <v>350.0</v>
      </c>
      <c r="H104" s="15">
        <v>377.0</v>
      </c>
      <c r="I104" s="15">
        <v>360.0</v>
      </c>
      <c r="J104" s="16">
        <f t="shared" si="2"/>
        <v>1.222205784</v>
      </c>
      <c r="K104" s="16">
        <f t="shared" si="3"/>
        <v>1.848591926</v>
      </c>
      <c r="L104" s="16">
        <f t="shared" si="4"/>
        <v>0.9076341107</v>
      </c>
      <c r="M104" s="16">
        <f t="shared" si="5"/>
        <v>1.55044215</v>
      </c>
      <c r="N104" s="16">
        <f t="shared" si="6"/>
        <v>1.480949559</v>
      </c>
      <c r="O104" s="16">
        <f t="shared" si="7"/>
        <v>40.90964111</v>
      </c>
      <c r="P104" s="16">
        <f t="shared" si="8"/>
        <v>27.04761353</v>
      </c>
      <c r="Q104" s="16">
        <f t="shared" si="9"/>
        <v>55.08827776</v>
      </c>
      <c r="R104" s="16">
        <f t="shared" si="10"/>
        <v>33.76212221</v>
      </c>
      <c r="S104" s="16">
        <f t="shared" si="11"/>
        <v>33.76212221</v>
      </c>
      <c r="T104" s="17"/>
      <c r="U104" s="17"/>
      <c r="V104" s="17"/>
      <c r="W104" s="17"/>
      <c r="X104" s="17"/>
      <c r="Y104" s="17"/>
      <c r="Z104" s="17"/>
    </row>
    <row r="105">
      <c r="A105" s="13">
        <v>45648.0</v>
      </c>
      <c r="B105" s="14">
        <v>2024.0</v>
      </c>
      <c r="C105" s="14">
        <v>12.0</v>
      </c>
      <c r="D105" s="14">
        <v>51.0</v>
      </c>
      <c r="E105" s="15">
        <v>723.0</v>
      </c>
      <c r="F105" s="15">
        <v>409.0</v>
      </c>
      <c r="G105" s="15">
        <v>407.0</v>
      </c>
      <c r="H105" s="15">
        <v>383.0</v>
      </c>
      <c r="I105" s="15">
        <v>612.0</v>
      </c>
      <c r="J105" s="16">
        <f t="shared" si="2"/>
        <v>1.206820031</v>
      </c>
      <c r="K105" s="16">
        <f t="shared" si="3"/>
        <v>1.20130635</v>
      </c>
      <c r="L105" s="16">
        <f t="shared" si="4"/>
        <v>1.242188664</v>
      </c>
      <c r="M105" s="16">
        <f t="shared" si="5"/>
        <v>1.567294782</v>
      </c>
      <c r="N105" s="16">
        <f t="shared" si="6"/>
        <v>1.674905009</v>
      </c>
      <c r="O105" s="16">
        <f t="shared" si="7"/>
        <v>42.25982225</v>
      </c>
      <c r="P105" s="16">
        <f t="shared" si="8"/>
        <v>42.45378376</v>
      </c>
      <c r="Q105" s="16">
        <f t="shared" si="9"/>
        <v>41.05656532</v>
      </c>
      <c r="R105" s="16">
        <f t="shared" si="10"/>
        <v>30.44948801</v>
      </c>
      <c r="S105" s="16">
        <f t="shared" si="11"/>
        <v>30.44948801</v>
      </c>
      <c r="T105" s="17"/>
      <c r="U105" s="17"/>
      <c r="V105" s="17"/>
      <c r="W105" s="17"/>
      <c r="X105" s="17"/>
      <c r="Y105" s="17"/>
      <c r="Z105" s="17"/>
    </row>
    <row r="106">
      <c r="A106" s="17"/>
      <c r="B106" s="18"/>
      <c r="C106" s="18"/>
      <c r="D106" s="18"/>
      <c r="E106" s="19"/>
      <c r="F106" s="20"/>
      <c r="G106" s="20"/>
      <c r="H106" s="20"/>
      <c r="I106" s="2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21"/>
      <c r="B107" s="18"/>
      <c r="C107" s="18"/>
      <c r="D107" s="18"/>
      <c r="E107" s="19"/>
      <c r="F107" s="20"/>
      <c r="G107" s="20"/>
      <c r="H107" s="20"/>
      <c r="I107" s="2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1" t="s">
        <v>0</v>
      </c>
      <c r="B108" s="11" t="s">
        <v>1</v>
      </c>
      <c r="C108" s="11" t="s">
        <v>2</v>
      </c>
      <c r="D108" s="11" t="s">
        <v>3</v>
      </c>
      <c r="E108" s="11" t="s">
        <v>128</v>
      </c>
      <c r="F108" s="11" t="s">
        <v>129</v>
      </c>
      <c r="G108" s="11" t="s">
        <v>130</v>
      </c>
      <c r="H108" s="11" t="s">
        <v>131</v>
      </c>
      <c r="I108" s="11" t="s">
        <v>132</v>
      </c>
      <c r="J108" s="22" t="s">
        <v>133</v>
      </c>
      <c r="K108" s="22" t="s">
        <v>134</v>
      </c>
      <c r="L108" s="22" t="s">
        <v>135</v>
      </c>
      <c r="M108" s="22" t="s">
        <v>136</v>
      </c>
      <c r="N108" s="22" t="s">
        <v>137</v>
      </c>
      <c r="O108" s="11" t="s">
        <v>138</v>
      </c>
      <c r="P108" s="11" t="s">
        <v>139</v>
      </c>
      <c r="Q108" s="11" t="s">
        <v>140</v>
      </c>
      <c r="R108" s="11" t="s">
        <v>141</v>
      </c>
      <c r="S108" s="11" t="s">
        <v>142</v>
      </c>
      <c r="T108" s="12"/>
      <c r="U108" s="12"/>
      <c r="V108" s="12"/>
      <c r="W108" s="12"/>
      <c r="X108" s="12"/>
      <c r="Y108" s="12"/>
      <c r="Z108" s="12"/>
    </row>
    <row r="109">
      <c r="A109" s="13">
        <v>45655.0</v>
      </c>
      <c r="B109" s="14">
        <v>2025.0</v>
      </c>
      <c r="C109" s="14">
        <v>12.0</v>
      </c>
      <c r="D109" s="14">
        <f t="shared" ref="D109:D121" si="13">MOD(ISOWEEKNUM(A109)-1,52)+1</f>
        <v>52</v>
      </c>
      <c r="E109" s="23">
        <f t="shared" ref="E109:I109" si="12">AVERAGE(E102:E105)</f>
        <v>718</v>
      </c>
      <c r="F109" s="24">
        <f t="shared" si="12"/>
        <v>480.5</v>
      </c>
      <c r="G109" s="24">
        <f t="shared" si="12"/>
        <v>395.25</v>
      </c>
      <c r="H109" s="24">
        <f t="shared" si="12"/>
        <v>308.5</v>
      </c>
      <c r="I109" s="24">
        <f t="shared" si="12"/>
        <v>457.5</v>
      </c>
      <c r="J109" s="16">
        <f t="array" ref="J109:J121">TREND(E2:E105,A2:A105,A109:A121)</f>
        <v>576.4423077</v>
      </c>
      <c r="K109" s="16">
        <f t="array" ref="K109:K121">TREND(F2:F105,A2:A105,A109:A121)</f>
        <v>415.8399925</v>
      </c>
      <c r="L109" s="16">
        <f t="array" ref="L109:L121">TREND(G2:G105,A2:A105,A109:A121)</f>
        <v>359.1407767</v>
      </c>
      <c r="M109" s="16">
        <f t="array" ref="M109:M121">TREND(H2:H105,A2:A105,A109:A121)</f>
        <v>245.5828977</v>
      </c>
      <c r="N109" s="16">
        <f t="array" ref="N109:N121">TREND(I2:I105,A2:A105,A109:A121)</f>
        <v>329.1938013</v>
      </c>
      <c r="O109" s="16">
        <f t="array" ref="O109:O121">TREND(O2:O105,A2:A105,A109:A121)</f>
        <v>35.7452782</v>
      </c>
      <c r="P109" s="16">
        <f t="array" ref="P109:P121">TREND(P2:P105,A2:A105,A109:A121)</f>
        <v>34.88850966</v>
      </c>
      <c r="Q109" s="16">
        <f t="array" ref="Q109:Q121">TREND(Q2:Q105,A2:A105,A109:A121)</f>
        <v>35.88890107</v>
      </c>
      <c r="R109" s="16">
        <f t="array" ref="R109:R121">TREND(R2:R105,A2:A105,A109:A121)</f>
        <v>35.19672734</v>
      </c>
      <c r="S109" s="16">
        <f t="array" ref="S109:S121">TREND(S2:S105,A2:A105,A109:A121)</f>
        <v>35.19672734</v>
      </c>
      <c r="T109" s="17"/>
      <c r="U109" s="17"/>
      <c r="V109" s="17"/>
      <c r="W109" s="17"/>
      <c r="X109" s="17"/>
      <c r="Y109" s="17"/>
      <c r="Z109" s="17"/>
    </row>
    <row r="110">
      <c r="A110" s="25">
        <v>45662.0</v>
      </c>
      <c r="B110" s="14">
        <v>2025.0</v>
      </c>
      <c r="C110" s="14">
        <v>1.0</v>
      </c>
      <c r="D110" s="14">
        <f t="shared" si="13"/>
        <v>1</v>
      </c>
      <c r="E110" s="23">
        <f t="shared" ref="E110:I110" si="14">AVERAGE(E103:E109)</f>
        <v>691.25</v>
      </c>
      <c r="F110" s="24">
        <f t="shared" si="14"/>
        <v>505.625</v>
      </c>
      <c r="G110" s="24">
        <f t="shared" si="14"/>
        <v>407.5625</v>
      </c>
      <c r="H110" s="24">
        <f t="shared" si="14"/>
        <v>337.875</v>
      </c>
      <c r="I110" s="24">
        <f t="shared" si="14"/>
        <v>481.875</v>
      </c>
      <c r="J110" s="16">
        <v>577.5181318681307</v>
      </c>
      <c r="K110" s="16">
        <v>416.9189960524909</v>
      </c>
      <c r="L110" s="16">
        <v>359.8326522991583</v>
      </c>
      <c r="M110" s="16">
        <v>246.30480635869026</v>
      </c>
      <c r="N110" s="16">
        <v>330.2101301611001</v>
      </c>
      <c r="O110" s="16">
        <v>35.91970080412989</v>
      </c>
      <c r="P110" s="16">
        <v>35.05913557452004</v>
      </c>
      <c r="Q110" s="16">
        <v>36.06789739838837</v>
      </c>
      <c r="R110" s="16">
        <v>35.37324181317081</v>
      </c>
      <c r="S110" s="16">
        <v>35.37324181317081</v>
      </c>
      <c r="T110" s="17"/>
      <c r="U110" s="17"/>
      <c r="V110" s="17"/>
      <c r="W110" s="17"/>
      <c r="X110" s="17"/>
      <c r="Y110" s="17"/>
      <c r="Z110" s="17"/>
    </row>
    <row r="111">
      <c r="A111" s="25">
        <v>45669.0</v>
      </c>
      <c r="B111" s="14">
        <v>2025.0</v>
      </c>
      <c r="C111" s="14">
        <v>1.0</v>
      </c>
      <c r="D111" s="14">
        <f t="shared" si="13"/>
        <v>2</v>
      </c>
      <c r="E111" s="23">
        <f t="shared" ref="E111:I111" si="15">AVERAGE(E104:E110)</f>
        <v>699.5625</v>
      </c>
      <c r="F111" s="24">
        <f t="shared" si="15"/>
        <v>482.28125</v>
      </c>
      <c r="G111" s="24">
        <f t="shared" si="15"/>
        <v>389.953125</v>
      </c>
      <c r="H111" s="24">
        <f t="shared" si="15"/>
        <v>351.59375</v>
      </c>
      <c r="I111" s="24">
        <f t="shared" si="15"/>
        <v>477.84375</v>
      </c>
      <c r="J111" s="16">
        <v>578.5939560439556</v>
      </c>
      <c r="K111" s="16">
        <v>417.99799957324194</v>
      </c>
      <c r="L111" s="16">
        <v>360.5245278992861</v>
      </c>
      <c r="M111" s="16">
        <v>247.02671503254078</v>
      </c>
      <c r="N111" s="16">
        <v>331.22645897791426</v>
      </c>
      <c r="O111" s="16">
        <v>36.094123406975086</v>
      </c>
      <c r="P111" s="16">
        <v>35.22976148442649</v>
      </c>
      <c r="Q111" s="16">
        <v>36.24689372402736</v>
      </c>
      <c r="R111" s="16">
        <v>35.549756288633944</v>
      </c>
      <c r="S111" s="16">
        <v>35.549756288633944</v>
      </c>
      <c r="T111" s="17"/>
      <c r="U111" s="17"/>
      <c r="V111" s="17"/>
      <c r="W111" s="17"/>
      <c r="X111" s="17"/>
      <c r="Y111" s="17"/>
      <c r="Z111" s="17"/>
    </row>
    <row r="112">
      <c r="A112" s="25">
        <v>45676.0</v>
      </c>
      <c r="B112" s="14">
        <v>2025.0</v>
      </c>
      <c r="C112" s="14">
        <v>1.0</v>
      </c>
      <c r="D112" s="14">
        <f t="shared" si="13"/>
        <v>3</v>
      </c>
      <c r="E112" s="23">
        <f t="shared" ref="E112:I112" si="16">AVERAGE(E105:E111)</f>
        <v>707.953125</v>
      </c>
      <c r="F112" s="24">
        <f t="shared" si="16"/>
        <v>469.3515625</v>
      </c>
      <c r="G112" s="24">
        <f t="shared" si="16"/>
        <v>399.9414063</v>
      </c>
      <c r="H112" s="24">
        <f t="shared" si="16"/>
        <v>345.2421875</v>
      </c>
      <c r="I112" s="24">
        <f t="shared" si="16"/>
        <v>507.3046875</v>
      </c>
      <c r="J112" s="16">
        <v>579.6697802197796</v>
      </c>
      <c r="K112" s="16">
        <v>419.07700309399297</v>
      </c>
      <c r="L112" s="16">
        <v>361.2164034994139</v>
      </c>
      <c r="M112" s="16">
        <v>247.7486237063913</v>
      </c>
      <c r="N112" s="16">
        <v>332.24278779472934</v>
      </c>
      <c r="O112" s="16">
        <v>36.26854600982051</v>
      </c>
      <c r="P112" s="16">
        <v>35.40038739433271</v>
      </c>
      <c r="Q112" s="16">
        <v>36.42589004966612</v>
      </c>
      <c r="R112" s="16">
        <v>35.72627076409708</v>
      </c>
      <c r="S112" s="16">
        <v>35.72627076409708</v>
      </c>
      <c r="T112" s="17"/>
      <c r="U112" s="17"/>
      <c r="V112" s="17"/>
      <c r="W112" s="17"/>
      <c r="X112" s="17"/>
      <c r="Y112" s="17"/>
      <c r="Z112" s="17"/>
    </row>
    <row r="113">
      <c r="A113" s="25">
        <v>45683.0</v>
      </c>
      <c r="B113" s="14">
        <v>2025.0</v>
      </c>
      <c r="C113" s="14">
        <v>1.0</v>
      </c>
      <c r="D113" s="14">
        <f t="shared" si="13"/>
        <v>4</v>
      </c>
      <c r="E113" s="23">
        <f t="shared" ref="E113:I113" si="17">AVERAGE(E109:E112)</f>
        <v>704.1914063</v>
      </c>
      <c r="F113" s="24">
        <f t="shared" si="17"/>
        <v>484.4394531</v>
      </c>
      <c r="G113" s="24">
        <f t="shared" si="17"/>
        <v>398.1767578</v>
      </c>
      <c r="H113" s="24">
        <f t="shared" si="17"/>
        <v>335.8027344</v>
      </c>
      <c r="I113" s="24">
        <f t="shared" si="17"/>
        <v>481.1308594</v>
      </c>
      <c r="J113" s="16">
        <v>580.7456043956036</v>
      </c>
      <c r="K113" s="16">
        <v>420.1560066147449</v>
      </c>
      <c r="L113" s="16">
        <v>361.9082790995417</v>
      </c>
      <c r="M113" s="16">
        <v>248.47053238024182</v>
      </c>
      <c r="N113" s="16">
        <v>333.2591166115435</v>
      </c>
      <c r="O113" s="16">
        <v>36.44296861266571</v>
      </c>
      <c r="P113" s="16">
        <v>35.57101330423916</v>
      </c>
      <c r="Q113" s="16">
        <v>36.604886375305114</v>
      </c>
      <c r="R113" s="16">
        <v>35.90278523956022</v>
      </c>
      <c r="S113" s="16">
        <v>35.90278523956022</v>
      </c>
      <c r="T113" s="17"/>
      <c r="U113" s="17"/>
      <c r="V113" s="17"/>
      <c r="W113" s="17"/>
      <c r="X113" s="17"/>
      <c r="Y113" s="17"/>
      <c r="Z113" s="17"/>
    </row>
    <row r="114">
      <c r="A114" s="25">
        <v>45690.0</v>
      </c>
      <c r="B114" s="14">
        <v>2025.0</v>
      </c>
      <c r="C114" s="14">
        <v>2.0</v>
      </c>
      <c r="D114" s="14">
        <f t="shared" si="13"/>
        <v>5</v>
      </c>
      <c r="E114" s="23">
        <f t="shared" ref="E114:I114" si="18">AVERAGE(E110:E113)</f>
        <v>700.7392578</v>
      </c>
      <c r="F114" s="24">
        <f t="shared" si="18"/>
        <v>485.4243164</v>
      </c>
      <c r="G114" s="24">
        <f t="shared" si="18"/>
        <v>398.9084473</v>
      </c>
      <c r="H114" s="24">
        <f t="shared" si="18"/>
        <v>342.628418</v>
      </c>
      <c r="I114" s="24">
        <f t="shared" si="18"/>
        <v>487.0385742</v>
      </c>
      <c r="J114" s="16">
        <v>581.8214285714275</v>
      </c>
      <c r="K114" s="16">
        <v>421.23501013549594</v>
      </c>
      <c r="L114" s="16">
        <v>362.6001546996704</v>
      </c>
      <c r="M114" s="16">
        <v>249.19244105409234</v>
      </c>
      <c r="N114" s="16">
        <v>334.27544542835767</v>
      </c>
      <c r="O114" s="16">
        <v>36.61739121551091</v>
      </c>
      <c r="P114" s="16">
        <v>35.74163921414538</v>
      </c>
      <c r="Q114" s="16">
        <v>36.78388270094388</v>
      </c>
      <c r="R114" s="16">
        <v>36.07929971502358</v>
      </c>
      <c r="S114" s="16">
        <v>36.07929971502358</v>
      </c>
      <c r="T114" s="17"/>
      <c r="U114" s="17"/>
      <c r="V114" s="17"/>
      <c r="W114" s="17"/>
      <c r="X114" s="17"/>
      <c r="Y114" s="17"/>
      <c r="Z114" s="17"/>
    </row>
    <row r="115">
      <c r="A115" s="25">
        <v>45697.0</v>
      </c>
      <c r="B115" s="14">
        <v>2025.0</v>
      </c>
      <c r="C115" s="14">
        <v>2.0</v>
      </c>
      <c r="D115" s="14">
        <f t="shared" si="13"/>
        <v>6</v>
      </c>
      <c r="E115" s="23">
        <f t="shared" ref="E115:I115" si="19">AVERAGE(E111:E114)</f>
        <v>703.1115723</v>
      </c>
      <c r="F115" s="24">
        <f t="shared" si="19"/>
        <v>480.3741455</v>
      </c>
      <c r="G115" s="24">
        <f t="shared" si="19"/>
        <v>396.7449341</v>
      </c>
      <c r="H115" s="24">
        <f t="shared" si="19"/>
        <v>343.8167725</v>
      </c>
      <c r="I115" s="24">
        <f t="shared" si="19"/>
        <v>488.3294678</v>
      </c>
      <c r="J115" s="16">
        <v>582.8972527472524</v>
      </c>
      <c r="K115" s="16">
        <v>422.31401365624697</v>
      </c>
      <c r="L115" s="16">
        <v>363.29203029979817</v>
      </c>
      <c r="M115" s="16">
        <v>249.91434972794286</v>
      </c>
      <c r="N115" s="16">
        <v>335.29177424517184</v>
      </c>
      <c r="O115" s="16">
        <v>36.79181381835633</v>
      </c>
      <c r="P115" s="16">
        <v>35.91226512405183</v>
      </c>
      <c r="Q115" s="16">
        <v>36.96287902658287</v>
      </c>
      <c r="R115" s="16">
        <v>36.25581419048672</v>
      </c>
      <c r="S115" s="16">
        <v>36.25581419048672</v>
      </c>
      <c r="T115" s="17"/>
      <c r="U115" s="17"/>
      <c r="V115" s="17"/>
      <c r="W115" s="17"/>
      <c r="X115" s="17"/>
      <c r="Y115" s="17"/>
      <c r="Z115" s="17"/>
    </row>
    <row r="116">
      <c r="A116" s="25">
        <v>45704.0</v>
      </c>
      <c r="B116" s="14">
        <v>2025.0</v>
      </c>
      <c r="C116" s="14">
        <v>2.0</v>
      </c>
      <c r="D116" s="14">
        <f t="shared" si="13"/>
        <v>7</v>
      </c>
      <c r="E116" s="23">
        <f t="shared" ref="E116:I116" si="20">AVERAGE(E112:E115)</f>
        <v>703.9988403</v>
      </c>
      <c r="F116" s="24">
        <f t="shared" si="20"/>
        <v>479.8973694</v>
      </c>
      <c r="G116" s="24">
        <f t="shared" si="20"/>
        <v>398.4428864</v>
      </c>
      <c r="H116" s="24">
        <f t="shared" si="20"/>
        <v>341.8725281</v>
      </c>
      <c r="I116" s="24">
        <f t="shared" si="20"/>
        <v>490.9508972</v>
      </c>
      <c r="J116" s="16">
        <v>583.9730769230764</v>
      </c>
      <c r="K116" s="16">
        <v>423.393017176998</v>
      </c>
      <c r="L116" s="16">
        <v>363.98390589992596</v>
      </c>
      <c r="M116" s="16">
        <v>250.63625840179338</v>
      </c>
      <c r="N116" s="16">
        <v>336.308103061986</v>
      </c>
      <c r="O116" s="16">
        <v>36.96623642120153</v>
      </c>
      <c r="P116" s="16">
        <v>36.08289103395805</v>
      </c>
      <c r="Q116" s="16">
        <v>37.14187535222186</v>
      </c>
      <c r="R116" s="16">
        <v>36.43232866594985</v>
      </c>
      <c r="S116" s="16">
        <v>36.43232866594985</v>
      </c>
      <c r="T116" s="17"/>
      <c r="U116" s="17"/>
      <c r="V116" s="17"/>
      <c r="W116" s="17"/>
      <c r="X116" s="17"/>
      <c r="Y116" s="17"/>
      <c r="Z116" s="17"/>
    </row>
    <row r="117">
      <c r="A117" s="25">
        <v>45711.0</v>
      </c>
      <c r="B117" s="14">
        <v>2025.0</v>
      </c>
      <c r="C117" s="14">
        <v>2.0</v>
      </c>
      <c r="D117" s="14">
        <f t="shared" si="13"/>
        <v>8</v>
      </c>
      <c r="E117" s="23">
        <f t="shared" ref="E117:I117" si="21">AVERAGE(E113:E116)</f>
        <v>703.0102692</v>
      </c>
      <c r="F117" s="24">
        <f t="shared" si="21"/>
        <v>482.5338211</v>
      </c>
      <c r="G117" s="24">
        <f t="shared" si="21"/>
        <v>398.0682564</v>
      </c>
      <c r="H117" s="24">
        <f t="shared" si="21"/>
        <v>341.0301132</v>
      </c>
      <c r="I117" s="24">
        <f t="shared" si="21"/>
        <v>486.8624496</v>
      </c>
      <c r="J117" s="16">
        <v>585.0489010989004</v>
      </c>
      <c r="K117" s="16">
        <v>424.47202069774903</v>
      </c>
      <c r="L117" s="16">
        <v>364.67578150005465</v>
      </c>
      <c r="M117" s="16">
        <v>251.3581670756439</v>
      </c>
      <c r="N117" s="16">
        <v>337.32443187880017</v>
      </c>
      <c r="O117" s="16">
        <v>37.140659024046954</v>
      </c>
      <c r="P117" s="16">
        <v>36.25351694386427</v>
      </c>
      <c r="Q117" s="16">
        <v>37.32087167786062</v>
      </c>
      <c r="R117" s="16">
        <v>36.60884314141322</v>
      </c>
      <c r="S117" s="16">
        <v>36.60884314141322</v>
      </c>
      <c r="T117" s="17"/>
      <c r="U117" s="17"/>
      <c r="V117" s="17"/>
      <c r="W117" s="17"/>
      <c r="X117" s="17"/>
      <c r="Y117" s="17"/>
      <c r="Z117" s="17"/>
    </row>
    <row r="118">
      <c r="A118" s="25">
        <v>45718.0</v>
      </c>
      <c r="B118" s="14">
        <v>2025.0</v>
      </c>
      <c r="C118" s="14">
        <v>3.0</v>
      </c>
      <c r="D118" s="14">
        <f t="shared" si="13"/>
        <v>9</v>
      </c>
      <c r="E118" s="23">
        <f t="shared" ref="E118:I118" si="22">AVERAGE(E114:E117)</f>
        <v>702.7149849</v>
      </c>
      <c r="F118" s="24">
        <f t="shared" si="22"/>
        <v>482.0574131</v>
      </c>
      <c r="G118" s="24">
        <f t="shared" si="22"/>
        <v>398.041131</v>
      </c>
      <c r="H118" s="24">
        <f t="shared" si="22"/>
        <v>342.3369579</v>
      </c>
      <c r="I118" s="24">
        <f t="shared" si="22"/>
        <v>488.2953472</v>
      </c>
      <c r="J118" s="16">
        <v>586.1247252747244</v>
      </c>
      <c r="K118" s="16">
        <v>425.55102421850006</v>
      </c>
      <c r="L118" s="16">
        <v>365.36765710018244</v>
      </c>
      <c r="M118" s="16">
        <v>252.08007574949352</v>
      </c>
      <c r="N118" s="16">
        <v>338.34076069561434</v>
      </c>
      <c r="O118" s="16">
        <v>37.31508162689215</v>
      </c>
      <c r="P118" s="16">
        <v>36.42414285377072</v>
      </c>
      <c r="Q118" s="16">
        <v>37.499868003499614</v>
      </c>
      <c r="R118" s="16">
        <v>36.785357616876354</v>
      </c>
      <c r="S118" s="16">
        <v>36.785357616876354</v>
      </c>
      <c r="T118" s="17"/>
      <c r="U118" s="17"/>
      <c r="V118" s="17"/>
      <c r="W118" s="17"/>
      <c r="X118" s="17"/>
      <c r="Y118" s="17"/>
      <c r="Z118" s="17"/>
    </row>
    <row r="119">
      <c r="A119" s="25">
        <v>45725.0</v>
      </c>
      <c r="B119" s="14">
        <v>2025.0</v>
      </c>
      <c r="C119" s="14">
        <v>3.0</v>
      </c>
      <c r="D119" s="14">
        <f t="shared" si="13"/>
        <v>10</v>
      </c>
      <c r="E119" s="23">
        <f t="shared" ref="E119:I119" si="23">AVERAGE(E115:E118)</f>
        <v>703.2089167</v>
      </c>
      <c r="F119" s="24">
        <f t="shared" si="23"/>
        <v>481.2156873</v>
      </c>
      <c r="G119" s="24">
        <f t="shared" si="23"/>
        <v>397.824302</v>
      </c>
      <c r="H119" s="24">
        <f t="shared" si="23"/>
        <v>342.2640929</v>
      </c>
      <c r="I119" s="24">
        <f t="shared" si="23"/>
        <v>488.6095405</v>
      </c>
      <c r="J119" s="16">
        <v>587.2005494505484</v>
      </c>
      <c r="K119" s="16">
        <v>426.6300277392511</v>
      </c>
      <c r="L119" s="16">
        <v>366.0595327003102</v>
      </c>
      <c r="M119" s="16">
        <v>252.80198442334404</v>
      </c>
      <c r="N119" s="16">
        <v>339.3570895124285</v>
      </c>
      <c r="O119" s="16">
        <v>37.48950422973758</v>
      </c>
      <c r="P119" s="16">
        <v>36.59476876367694</v>
      </c>
      <c r="Q119" s="16">
        <v>37.67886432913838</v>
      </c>
      <c r="R119" s="16">
        <v>36.96187209233949</v>
      </c>
      <c r="S119" s="16">
        <v>36.96187209233949</v>
      </c>
      <c r="T119" s="17"/>
      <c r="U119" s="17"/>
      <c r="V119" s="17"/>
      <c r="W119" s="17"/>
      <c r="X119" s="17"/>
      <c r="Y119" s="17"/>
      <c r="Z119" s="17"/>
    </row>
    <row r="120">
      <c r="A120" s="25">
        <v>45732.0</v>
      </c>
      <c r="B120" s="14">
        <v>2025.0</v>
      </c>
      <c r="C120" s="14">
        <v>3.0</v>
      </c>
      <c r="D120" s="14">
        <f t="shared" si="13"/>
        <v>11</v>
      </c>
      <c r="E120" s="23">
        <f t="shared" ref="E120:I120" si="24">AVERAGE(E116:E119)</f>
        <v>703.2332528</v>
      </c>
      <c r="F120" s="24">
        <f t="shared" si="24"/>
        <v>481.4260727</v>
      </c>
      <c r="G120" s="24">
        <f t="shared" si="24"/>
        <v>398.0941439</v>
      </c>
      <c r="H120" s="24">
        <f t="shared" si="24"/>
        <v>341.875923</v>
      </c>
      <c r="I120" s="24">
        <f t="shared" si="24"/>
        <v>488.6795586</v>
      </c>
      <c r="J120" s="16">
        <v>588.2763736263732</v>
      </c>
      <c r="K120" s="16">
        <v>427.7090312600021</v>
      </c>
      <c r="L120" s="16">
        <v>366.751408300438</v>
      </c>
      <c r="M120" s="16">
        <v>253.52389309719456</v>
      </c>
      <c r="N120" s="16">
        <v>340.37341832924267</v>
      </c>
      <c r="O120" s="16">
        <v>37.663926832582774</v>
      </c>
      <c r="P120" s="16">
        <v>36.76539467358339</v>
      </c>
      <c r="Q120" s="16">
        <v>37.85786065477737</v>
      </c>
      <c r="R120" s="16">
        <v>37.13838656780263</v>
      </c>
      <c r="S120" s="16">
        <v>37.13838656780263</v>
      </c>
      <c r="T120" s="17"/>
      <c r="U120" s="17"/>
      <c r="V120" s="17"/>
      <c r="W120" s="17"/>
      <c r="X120" s="17"/>
      <c r="Y120" s="17"/>
      <c r="Z120" s="17"/>
    </row>
    <row r="121">
      <c r="A121" s="25">
        <v>45739.0</v>
      </c>
      <c r="B121" s="14">
        <v>2025.0</v>
      </c>
      <c r="C121" s="14">
        <v>3.0</v>
      </c>
      <c r="D121" s="14">
        <f t="shared" si="13"/>
        <v>12</v>
      </c>
      <c r="E121" s="23">
        <f t="shared" ref="E121:I121" si="25">AVERAGE(E117:E120)</f>
        <v>703.0418559</v>
      </c>
      <c r="F121" s="24">
        <f t="shared" si="25"/>
        <v>481.8082485</v>
      </c>
      <c r="G121" s="24">
        <f t="shared" si="25"/>
        <v>398.0069583</v>
      </c>
      <c r="H121" s="24">
        <f t="shared" si="25"/>
        <v>341.8767718</v>
      </c>
      <c r="I121" s="24">
        <f t="shared" si="25"/>
        <v>488.111724</v>
      </c>
      <c r="J121" s="16">
        <v>589.3521978021972</v>
      </c>
      <c r="K121" s="16">
        <v>428.78803478075315</v>
      </c>
      <c r="L121" s="16">
        <v>367.4432839005667</v>
      </c>
      <c r="M121" s="16">
        <v>254.24580177104508</v>
      </c>
      <c r="N121" s="16">
        <v>341.38974714605683</v>
      </c>
      <c r="O121" s="16">
        <v>37.83834943542797</v>
      </c>
      <c r="P121" s="16">
        <v>36.93602058348961</v>
      </c>
      <c r="Q121" s="16">
        <v>38.03685698041613</v>
      </c>
      <c r="R121" s="16">
        <v>37.31490104326599</v>
      </c>
      <c r="S121" s="16">
        <v>37.31490104326599</v>
      </c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8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8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8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8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8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8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8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8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8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8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8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8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8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8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8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8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8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8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8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8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8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8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8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8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8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8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8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8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8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8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8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8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8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8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8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8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8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8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8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8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8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8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8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8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8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8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8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8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8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8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8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8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8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8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8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8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8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8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8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8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8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8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8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8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8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8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8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8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8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8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8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8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8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8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8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8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8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8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8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8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8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8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8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8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8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8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8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8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8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8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8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8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8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8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8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8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8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8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8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8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8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8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8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8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8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8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8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8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8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8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8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8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8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8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8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8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8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8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8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8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8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8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8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8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8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8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8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8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8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8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8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8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8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8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8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8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8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8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8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8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8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8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8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8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8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8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8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8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8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8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8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8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8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8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8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8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8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8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8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8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8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8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8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8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8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8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8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8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8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8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8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8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8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8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8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8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8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8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8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8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8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8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8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8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8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8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8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8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8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8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8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8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8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8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8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8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8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8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8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8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8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8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8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8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8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8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8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8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8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8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8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8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8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8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8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8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8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8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8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8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8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8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8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8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8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8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8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8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8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8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8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8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8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8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8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8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8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8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8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8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8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8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8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8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8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8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8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8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8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8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8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8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8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8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8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8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8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8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8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8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8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8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8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8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8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8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8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8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8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8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8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8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8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8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8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8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8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8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8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8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8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8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8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8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8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8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8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8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8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8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8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8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8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8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8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8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8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8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8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8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8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8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8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8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8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8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8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8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8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8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8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8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8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8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8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8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8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8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8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8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8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8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8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8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8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8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8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8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8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8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8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8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8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8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8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8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8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8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8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8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8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8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8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8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8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8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8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8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8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8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8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8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8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8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8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8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8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8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8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8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8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8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8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8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8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8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8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8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8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8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8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8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8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8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8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8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8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8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8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8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8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8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8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8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8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8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8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8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8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8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8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8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8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8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8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8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8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8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8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8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8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8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8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8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8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8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8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8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8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8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8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8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8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8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8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8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8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8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8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8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8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8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8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8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8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8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8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8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8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8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8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8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8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8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8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8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8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8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8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8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8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</sheetData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63"/>
    <col customWidth="1" min="3" max="3" width="14.0"/>
    <col customWidth="1" min="4" max="4" width="5.38"/>
    <col customWidth="1" min="5" max="9" width="21.38"/>
    <col customWidth="1" min="10" max="10" width="15.88"/>
    <col customWidth="1" min="11" max="14" width="16.25"/>
    <col customWidth="1" min="15" max="19" width="29.25"/>
    <col customWidth="1" min="20" max="26" width="11.5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143</v>
      </c>
      <c r="F1" s="22" t="s">
        <v>144</v>
      </c>
      <c r="G1" s="22" t="s">
        <v>145</v>
      </c>
      <c r="H1" s="22" t="s">
        <v>146</v>
      </c>
      <c r="I1" s="22" t="s">
        <v>147</v>
      </c>
      <c r="J1" s="22" t="s">
        <v>133</v>
      </c>
      <c r="K1" s="22" t="s">
        <v>134</v>
      </c>
      <c r="L1" s="22" t="s">
        <v>135</v>
      </c>
      <c r="M1" s="22" t="s">
        <v>136</v>
      </c>
      <c r="N1" s="22" t="s">
        <v>137</v>
      </c>
      <c r="O1" s="22" t="s">
        <v>148</v>
      </c>
      <c r="P1" s="22" t="s">
        <v>149</v>
      </c>
      <c r="Q1" s="22" t="s">
        <v>150</v>
      </c>
      <c r="R1" s="22" t="s">
        <v>151</v>
      </c>
      <c r="S1" s="22" t="s">
        <v>152</v>
      </c>
      <c r="T1" s="27"/>
      <c r="U1" s="27"/>
      <c r="V1" s="27"/>
      <c r="W1" s="27"/>
      <c r="X1" s="27"/>
      <c r="Y1" s="27"/>
      <c r="Z1" s="27"/>
    </row>
    <row r="2">
      <c r="A2" s="28">
        <v>45655.0</v>
      </c>
      <c r="B2" s="29">
        <v>2025.0</v>
      </c>
      <c r="C2" s="29">
        <v>12.0</v>
      </c>
      <c r="D2" s="29">
        <f t="shared" ref="D2:D14" si="2">MOD(ISOWEEKNUM(A2)-1,52)+1</f>
        <v>52</v>
      </c>
      <c r="E2" s="30">
        <v>659.0</v>
      </c>
      <c r="F2" s="30">
        <v>402.0</v>
      </c>
      <c r="G2" s="30">
        <v>417.0</v>
      </c>
      <c r="H2" s="30">
        <v>230.0</v>
      </c>
      <c r="I2" s="30">
        <v>382.0</v>
      </c>
      <c r="J2" s="31">
        <v>576.4423076923067</v>
      </c>
      <c r="K2" s="31">
        <v>415.8399925317399</v>
      </c>
      <c r="L2" s="31">
        <v>359.14077669902963</v>
      </c>
      <c r="M2" s="31">
        <v>245.58289768483974</v>
      </c>
      <c r="N2" s="31">
        <v>329.19380134428593</v>
      </c>
      <c r="O2" s="31">
        <f t="shared" ref="O2:S2" si="1">ABS((E2-J2)/E2)</f>
        <v>0.1252772266</v>
      </c>
      <c r="P2" s="31">
        <f t="shared" si="1"/>
        <v>0.03442784212</v>
      </c>
      <c r="Q2" s="31">
        <f t="shared" si="1"/>
        <v>0.138751135</v>
      </c>
      <c r="R2" s="31">
        <f t="shared" si="1"/>
        <v>0.06775172906</v>
      </c>
      <c r="S2" s="31">
        <f t="shared" si="1"/>
        <v>0.1382361221</v>
      </c>
      <c r="T2" s="32"/>
      <c r="U2" s="32"/>
      <c r="V2" s="32"/>
      <c r="W2" s="32"/>
      <c r="X2" s="32"/>
      <c r="Y2" s="32"/>
      <c r="Z2" s="32"/>
    </row>
    <row r="3">
      <c r="A3" s="33">
        <v>45662.0</v>
      </c>
      <c r="B3" s="29">
        <v>2025.0</v>
      </c>
      <c r="C3" s="29">
        <v>1.0</v>
      </c>
      <c r="D3" s="29">
        <f t="shared" si="2"/>
        <v>1</v>
      </c>
      <c r="E3" s="30">
        <v>435.0</v>
      </c>
      <c r="F3" s="30">
        <v>334.0</v>
      </c>
      <c r="G3" s="30">
        <v>314.0</v>
      </c>
      <c r="H3" s="30">
        <v>250.0</v>
      </c>
      <c r="I3" s="30">
        <v>223.0</v>
      </c>
      <c r="J3" s="31">
        <v>577.5181318681307</v>
      </c>
      <c r="K3" s="31">
        <v>416.9189960524909</v>
      </c>
      <c r="L3" s="31">
        <v>359.8326522991583</v>
      </c>
      <c r="M3" s="31">
        <v>246.30480635869026</v>
      </c>
      <c r="N3" s="31">
        <v>330.2101301611001</v>
      </c>
      <c r="O3" s="31">
        <f t="shared" ref="O3:S3" si="3">ABS((E3-J3)/E3)</f>
        <v>0.3276278894</v>
      </c>
      <c r="P3" s="31">
        <f t="shared" si="3"/>
        <v>0.2482604672</v>
      </c>
      <c r="Q3" s="31">
        <f t="shared" si="3"/>
        <v>0.1459638608</v>
      </c>
      <c r="R3" s="31">
        <f t="shared" si="3"/>
        <v>0.01478077457</v>
      </c>
      <c r="S3" s="31">
        <f t="shared" si="3"/>
        <v>0.4807629155</v>
      </c>
      <c r="T3" s="32"/>
      <c r="U3" s="32"/>
      <c r="V3" s="32"/>
      <c r="W3" s="32"/>
      <c r="X3" s="32"/>
      <c r="Y3" s="32"/>
      <c r="Z3" s="32"/>
    </row>
    <row r="4">
      <c r="A4" s="33">
        <v>45669.0</v>
      </c>
      <c r="B4" s="29">
        <v>2025.0</v>
      </c>
      <c r="C4" s="29">
        <v>1.0</v>
      </c>
      <c r="D4" s="29">
        <f t="shared" si="2"/>
        <v>2</v>
      </c>
      <c r="E4" s="30">
        <v>475.0</v>
      </c>
      <c r="F4" s="30">
        <v>318.0</v>
      </c>
      <c r="G4" s="30">
        <v>320.0</v>
      </c>
      <c r="H4" s="30">
        <v>300.0</v>
      </c>
      <c r="I4" s="30">
        <v>315.0</v>
      </c>
      <c r="J4" s="31">
        <v>578.5939560439556</v>
      </c>
      <c r="K4" s="31">
        <v>417.99799957324194</v>
      </c>
      <c r="L4" s="31">
        <v>360.5245278992861</v>
      </c>
      <c r="M4" s="31">
        <v>247.02671503254078</v>
      </c>
      <c r="N4" s="31">
        <v>331.22645897791426</v>
      </c>
      <c r="O4" s="31">
        <f t="shared" ref="O4:S4" si="4">ABS((E4-J4)/E4)</f>
        <v>0.218092539</v>
      </c>
      <c r="P4" s="31">
        <f t="shared" si="4"/>
        <v>0.3144591182</v>
      </c>
      <c r="Q4" s="31">
        <f t="shared" si="4"/>
        <v>0.1266391497</v>
      </c>
      <c r="R4" s="31">
        <f t="shared" si="4"/>
        <v>0.1765776166</v>
      </c>
      <c r="S4" s="31">
        <f t="shared" si="4"/>
        <v>0.05151256818</v>
      </c>
      <c r="T4" s="32"/>
      <c r="U4" s="32"/>
      <c r="V4" s="32"/>
      <c r="W4" s="32"/>
      <c r="X4" s="32"/>
      <c r="Y4" s="32"/>
      <c r="Z4" s="32"/>
    </row>
    <row r="5">
      <c r="A5" s="33">
        <v>45676.0</v>
      </c>
      <c r="B5" s="29">
        <v>2025.0</v>
      </c>
      <c r="C5" s="29">
        <v>1.0</v>
      </c>
      <c r="D5" s="29">
        <f t="shared" si="2"/>
        <v>3</v>
      </c>
      <c r="E5" s="30">
        <v>495.0</v>
      </c>
      <c r="F5" s="30">
        <v>352.0</v>
      </c>
      <c r="G5" s="30">
        <v>249.0</v>
      </c>
      <c r="H5" s="30">
        <v>186.0</v>
      </c>
      <c r="I5" s="30">
        <v>236.0</v>
      </c>
      <c r="J5" s="31">
        <v>579.6697802197796</v>
      </c>
      <c r="K5" s="31">
        <v>419.07700309399297</v>
      </c>
      <c r="L5" s="31">
        <v>361.2164034994139</v>
      </c>
      <c r="M5" s="31">
        <v>247.7486237063913</v>
      </c>
      <c r="N5" s="31">
        <v>332.24278779472934</v>
      </c>
      <c r="O5" s="31">
        <f t="shared" ref="O5:S5" si="5">ABS((E5-J5)/E5)</f>
        <v>0.1710500611</v>
      </c>
      <c r="P5" s="31">
        <f t="shared" si="5"/>
        <v>0.1905596679</v>
      </c>
      <c r="Q5" s="31">
        <f t="shared" si="5"/>
        <v>0.4506682871</v>
      </c>
      <c r="R5" s="31">
        <f t="shared" si="5"/>
        <v>0.3319818479</v>
      </c>
      <c r="S5" s="31">
        <f t="shared" si="5"/>
        <v>0.4078084229</v>
      </c>
      <c r="T5" s="32"/>
      <c r="U5" s="32"/>
      <c r="V5" s="32"/>
      <c r="W5" s="32"/>
      <c r="X5" s="32"/>
      <c r="Y5" s="32"/>
      <c r="Z5" s="32"/>
    </row>
    <row r="6">
      <c r="A6" s="33">
        <v>45683.0</v>
      </c>
      <c r="B6" s="29">
        <v>2025.0</v>
      </c>
      <c r="C6" s="29">
        <v>1.0</v>
      </c>
      <c r="D6" s="29">
        <f t="shared" si="2"/>
        <v>4</v>
      </c>
      <c r="E6" s="30">
        <v>513.0</v>
      </c>
      <c r="F6" s="30">
        <v>383.0</v>
      </c>
      <c r="G6" s="30">
        <v>455.0</v>
      </c>
      <c r="H6" s="30">
        <v>238.0</v>
      </c>
      <c r="I6" s="30">
        <v>349.0</v>
      </c>
      <c r="J6" s="31">
        <v>580.7456043956036</v>
      </c>
      <c r="K6" s="31">
        <v>420.1560066147449</v>
      </c>
      <c r="L6" s="31">
        <v>361.9082790995417</v>
      </c>
      <c r="M6" s="31">
        <v>248.47053238024182</v>
      </c>
      <c r="N6" s="31">
        <v>333.2591166115435</v>
      </c>
      <c r="O6" s="31">
        <f t="shared" ref="O6:S6" si="6">ABS((E6-J6)/E6)</f>
        <v>0.1320577084</v>
      </c>
      <c r="P6" s="31">
        <f t="shared" si="6"/>
        <v>0.0970130721</v>
      </c>
      <c r="Q6" s="31">
        <f t="shared" si="6"/>
        <v>0.2045971888</v>
      </c>
      <c r="R6" s="31">
        <f t="shared" si="6"/>
        <v>0.04399383353</v>
      </c>
      <c r="S6" s="31">
        <f t="shared" si="6"/>
        <v>0.04510281773</v>
      </c>
      <c r="T6" s="32"/>
      <c r="U6" s="32"/>
      <c r="V6" s="32"/>
      <c r="W6" s="32"/>
      <c r="X6" s="32"/>
      <c r="Y6" s="32"/>
      <c r="Z6" s="32"/>
    </row>
    <row r="7">
      <c r="A7" s="33">
        <v>45690.0</v>
      </c>
      <c r="B7" s="29">
        <v>2025.0</v>
      </c>
      <c r="C7" s="29">
        <v>2.0</v>
      </c>
      <c r="D7" s="29">
        <f t="shared" si="2"/>
        <v>5</v>
      </c>
      <c r="E7" s="30">
        <v>585.0</v>
      </c>
      <c r="F7" s="30">
        <v>589.0</v>
      </c>
      <c r="G7" s="30">
        <v>449.0</v>
      </c>
      <c r="H7" s="30">
        <v>489.0</v>
      </c>
      <c r="I7" s="30">
        <v>324.0</v>
      </c>
      <c r="J7" s="31">
        <v>581.8214285714275</v>
      </c>
      <c r="K7" s="31">
        <v>421.23501013549594</v>
      </c>
      <c r="L7" s="31">
        <v>362.6001546996704</v>
      </c>
      <c r="M7" s="31">
        <v>249.19244105409234</v>
      </c>
      <c r="N7" s="31">
        <v>334.27544542835767</v>
      </c>
      <c r="O7" s="31">
        <f t="shared" ref="O7:S7" si="7">ABS((E7-J7)/E7)</f>
        <v>0.005433455433</v>
      </c>
      <c r="P7" s="31">
        <f t="shared" si="7"/>
        <v>0.2848302035</v>
      </c>
      <c r="Q7" s="31">
        <f t="shared" si="7"/>
        <v>0.1924272724</v>
      </c>
      <c r="R7" s="31">
        <f t="shared" si="7"/>
        <v>0.490404006</v>
      </c>
      <c r="S7" s="31">
        <f t="shared" si="7"/>
        <v>0.03171433774</v>
      </c>
      <c r="T7" s="32"/>
      <c r="U7" s="32"/>
      <c r="V7" s="32"/>
      <c r="W7" s="32"/>
      <c r="X7" s="32"/>
      <c r="Y7" s="32"/>
      <c r="Z7" s="32"/>
    </row>
    <row r="8">
      <c r="A8" s="33">
        <v>45697.0</v>
      </c>
      <c r="B8" s="29">
        <v>2025.0</v>
      </c>
      <c r="C8" s="29">
        <v>2.0</v>
      </c>
      <c r="D8" s="29">
        <f t="shared" si="2"/>
        <v>6</v>
      </c>
      <c r="E8" s="30">
        <v>790.0</v>
      </c>
      <c r="F8" s="30">
        <v>490.0</v>
      </c>
      <c r="G8" s="30">
        <v>317.0</v>
      </c>
      <c r="H8" s="30">
        <v>333.0</v>
      </c>
      <c r="I8" s="30">
        <v>290.0</v>
      </c>
      <c r="J8" s="31">
        <v>582.8972527472524</v>
      </c>
      <c r="K8" s="31">
        <v>422.31401365624697</v>
      </c>
      <c r="L8" s="31">
        <v>363.29203029979817</v>
      </c>
      <c r="M8" s="31">
        <v>249.91434972794286</v>
      </c>
      <c r="N8" s="31">
        <v>335.29177424517184</v>
      </c>
      <c r="O8" s="31">
        <f t="shared" ref="O8:S8" si="8">ABS((E8-J8)/E8)</f>
        <v>0.2621553763</v>
      </c>
      <c r="P8" s="31">
        <f t="shared" si="8"/>
        <v>0.138134666</v>
      </c>
      <c r="Q8" s="31">
        <f t="shared" si="8"/>
        <v>0.1460316413</v>
      </c>
      <c r="R8" s="31">
        <f t="shared" si="8"/>
        <v>0.2495064573</v>
      </c>
      <c r="S8" s="31">
        <f t="shared" si="8"/>
        <v>0.1561785319</v>
      </c>
      <c r="T8" s="32"/>
      <c r="U8" s="32"/>
      <c r="V8" s="32"/>
      <c r="W8" s="32"/>
      <c r="X8" s="32"/>
      <c r="Y8" s="32"/>
      <c r="Z8" s="32"/>
    </row>
    <row r="9">
      <c r="A9" s="33">
        <v>45704.0</v>
      </c>
      <c r="B9" s="29">
        <v>2025.0</v>
      </c>
      <c r="C9" s="29">
        <v>2.0</v>
      </c>
      <c r="D9" s="29">
        <f t="shared" si="2"/>
        <v>7</v>
      </c>
      <c r="E9" s="30">
        <v>596.0</v>
      </c>
      <c r="F9" s="30">
        <v>470.0</v>
      </c>
      <c r="G9" s="30">
        <v>595.0</v>
      </c>
      <c r="H9" s="30">
        <v>221.0</v>
      </c>
      <c r="I9" s="30">
        <v>413.0</v>
      </c>
      <c r="J9" s="31">
        <v>583.9730769230764</v>
      </c>
      <c r="K9" s="31">
        <v>423.393017176998</v>
      </c>
      <c r="L9" s="31">
        <v>363.98390589992596</v>
      </c>
      <c r="M9" s="31">
        <v>250.63625840179338</v>
      </c>
      <c r="N9" s="31">
        <v>336.308103061986</v>
      </c>
      <c r="O9" s="31">
        <f t="shared" ref="O9:S9" si="9">ABS((E9-J9)/E9)</f>
        <v>0.02017940114</v>
      </c>
      <c r="P9" s="31">
        <f t="shared" si="9"/>
        <v>0.09916379324</v>
      </c>
      <c r="Q9" s="31">
        <f t="shared" si="9"/>
        <v>0.388262343</v>
      </c>
      <c r="R9" s="31">
        <f t="shared" si="9"/>
        <v>0.1341007168</v>
      </c>
      <c r="S9" s="31">
        <f t="shared" si="9"/>
        <v>0.1856946657</v>
      </c>
      <c r="T9" s="32"/>
      <c r="U9" s="32"/>
      <c r="V9" s="32"/>
      <c r="W9" s="32"/>
      <c r="X9" s="32"/>
      <c r="Y9" s="32"/>
      <c r="Z9" s="32"/>
    </row>
    <row r="10">
      <c r="A10" s="33">
        <v>45711.0</v>
      </c>
      <c r="B10" s="29">
        <v>2025.0</v>
      </c>
      <c r="C10" s="29">
        <v>2.0</v>
      </c>
      <c r="D10" s="29">
        <f t="shared" si="2"/>
        <v>8</v>
      </c>
      <c r="E10" s="30">
        <v>728.0</v>
      </c>
      <c r="F10" s="30">
        <v>561.0</v>
      </c>
      <c r="G10" s="30">
        <v>593.0</v>
      </c>
      <c r="H10" s="30">
        <v>287.0</v>
      </c>
      <c r="I10" s="30">
        <v>487.0</v>
      </c>
      <c r="J10" s="31">
        <v>585.0489010989004</v>
      </c>
      <c r="K10" s="31">
        <v>424.47202069774903</v>
      </c>
      <c r="L10" s="31">
        <v>364.67578150005465</v>
      </c>
      <c r="M10" s="31">
        <v>251.3581670756439</v>
      </c>
      <c r="N10" s="31">
        <v>337.32443187880017</v>
      </c>
      <c r="O10" s="31">
        <f t="shared" ref="O10:S10" si="10">ABS((E10-J10)/E10)</f>
        <v>0.1963613996</v>
      </c>
      <c r="P10" s="31">
        <f t="shared" si="10"/>
        <v>0.243365382</v>
      </c>
      <c r="Q10" s="31">
        <f t="shared" si="10"/>
        <v>0.3850324089</v>
      </c>
      <c r="R10" s="31">
        <f t="shared" si="10"/>
        <v>0.1241875712</v>
      </c>
      <c r="S10" s="31">
        <f t="shared" si="10"/>
        <v>0.307342029</v>
      </c>
      <c r="T10" s="32"/>
      <c r="U10" s="32"/>
      <c r="V10" s="32"/>
      <c r="W10" s="32"/>
      <c r="X10" s="32"/>
      <c r="Y10" s="32"/>
      <c r="Z10" s="32"/>
    </row>
    <row r="11">
      <c r="A11" s="33">
        <v>45718.0</v>
      </c>
      <c r="B11" s="29">
        <v>2025.0</v>
      </c>
      <c r="C11" s="29">
        <v>3.0</v>
      </c>
      <c r="D11" s="29">
        <f t="shared" si="2"/>
        <v>9</v>
      </c>
      <c r="E11" s="30">
        <v>825.0</v>
      </c>
      <c r="F11" s="30">
        <v>380.0</v>
      </c>
      <c r="G11" s="30">
        <v>346.0</v>
      </c>
      <c r="H11" s="30">
        <v>191.0</v>
      </c>
      <c r="I11" s="30">
        <v>360.0</v>
      </c>
      <c r="J11" s="31">
        <v>586.1247252747244</v>
      </c>
      <c r="K11" s="31">
        <v>425.55102421850006</v>
      </c>
      <c r="L11" s="31">
        <v>365.36765710018244</v>
      </c>
      <c r="M11" s="31">
        <v>252.08007574949352</v>
      </c>
      <c r="N11" s="31">
        <v>338.34076069561434</v>
      </c>
      <c r="O11" s="31">
        <f t="shared" ref="O11:S11" si="11">ABS((E11-J11)/E11)</f>
        <v>0.2895457875</v>
      </c>
      <c r="P11" s="31">
        <f t="shared" si="11"/>
        <v>0.1198711164</v>
      </c>
      <c r="Q11" s="31">
        <f t="shared" si="11"/>
        <v>0.05597588757</v>
      </c>
      <c r="R11" s="31">
        <f t="shared" si="11"/>
        <v>0.3197909725</v>
      </c>
      <c r="S11" s="31">
        <f t="shared" si="11"/>
        <v>0.06016455362</v>
      </c>
      <c r="T11" s="32"/>
      <c r="U11" s="32"/>
      <c r="V11" s="32"/>
      <c r="W11" s="32"/>
      <c r="X11" s="32"/>
      <c r="Y11" s="32"/>
      <c r="Z11" s="32"/>
    </row>
    <row r="12">
      <c r="A12" s="33">
        <v>45725.0</v>
      </c>
      <c r="B12" s="29">
        <v>2025.0</v>
      </c>
      <c r="C12" s="29">
        <v>3.0</v>
      </c>
      <c r="D12" s="29">
        <f t="shared" si="2"/>
        <v>10</v>
      </c>
      <c r="E12" s="30">
        <v>658.0</v>
      </c>
      <c r="F12" s="30">
        <v>599.0</v>
      </c>
      <c r="G12" s="30">
        <v>478.0</v>
      </c>
      <c r="H12" s="30">
        <v>283.0</v>
      </c>
      <c r="I12" s="30">
        <v>498.0</v>
      </c>
      <c r="J12" s="31">
        <v>587.2005494505484</v>
      </c>
      <c r="K12" s="31">
        <v>426.6300277392511</v>
      </c>
      <c r="L12" s="31">
        <v>366.0595327003102</v>
      </c>
      <c r="M12" s="31">
        <v>252.80198442334404</v>
      </c>
      <c r="N12" s="31">
        <v>339.3570895124285</v>
      </c>
      <c r="O12" s="31">
        <f t="shared" ref="O12:S12" si="12">ABS((E12-J12)/E12)</f>
        <v>0.1075979492</v>
      </c>
      <c r="P12" s="31">
        <f t="shared" si="12"/>
        <v>0.2877628919</v>
      </c>
      <c r="Q12" s="31">
        <f t="shared" si="12"/>
        <v>0.234185078</v>
      </c>
      <c r="R12" s="31">
        <f t="shared" si="12"/>
        <v>0.1067067688</v>
      </c>
      <c r="S12" s="31">
        <f t="shared" si="12"/>
        <v>0.3185600612</v>
      </c>
      <c r="T12" s="32"/>
      <c r="U12" s="32"/>
      <c r="V12" s="32"/>
      <c r="W12" s="32"/>
      <c r="X12" s="32"/>
      <c r="Y12" s="32"/>
      <c r="Z12" s="32"/>
    </row>
    <row r="13">
      <c r="A13" s="33">
        <v>45732.0</v>
      </c>
      <c r="B13" s="29">
        <v>2025.0</v>
      </c>
      <c r="C13" s="29">
        <v>3.0</v>
      </c>
      <c r="D13" s="29">
        <f t="shared" si="2"/>
        <v>11</v>
      </c>
      <c r="E13" s="30">
        <v>666.0</v>
      </c>
      <c r="F13" s="30">
        <v>534.0</v>
      </c>
      <c r="G13" s="30">
        <v>350.0</v>
      </c>
      <c r="H13" s="30">
        <v>377.0</v>
      </c>
      <c r="I13" s="30">
        <v>360.0</v>
      </c>
      <c r="J13" s="31">
        <v>588.2763736263732</v>
      </c>
      <c r="K13" s="31">
        <v>427.7090312600021</v>
      </c>
      <c r="L13" s="31">
        <v>366.751408300438</v>
      </c>
      <c r="M13" s="31">
        <v>253.52389309719456</v>
      </c>
      <c r="N13" s="31">
        <v>340.37341832924267</v>
      </c>
      <c r="O13" s="31">
        <f t="shared" ref="O13:S13" si="13">ABS((E13-J13)/E13)</f>
        <v>0.1167021417</v>
      </c>
      <c r="P13" s="31">
        <f t="shared" si="13"/>
        <v>0.1990467579</v>
      </c>
      <c r="Q13" s="31">
        <f t="shared" si="13"/>
        <v>0.04786116657</v>
      </c>
      <c r="R13" s="31">
        <f t="shared" si="13"/>
        <v>0.32752283</v>
      </c>
      <c r="S13" s="31">
        <f t="shared" si="13"/>
        <v>0.05451828242</v>
      </c>
      <c r="T13" s="32"/>
      <c r="U13" s="32"/>
      <c r="V13" s="32"/>
      <c r="W13" s="32"/>
      <c r="X13" s="32"/>
      <c r="Y13" s="32"/>
      <c r="Z13" s="32"/>
    </row>
    <row r="14">
      <c r="A14" s="33">
        <v>45739.0</v>
      </c>
      <c r="B14" s="29">
        <v>2025.0</v>
      </c>
      <c r="C14" s="29">
        <v>3.0</v>
      </c>
      <c r="D14" s="29">
        <f t="shared" si="2"/>
        <v>12</v>
      </c>
      <c r="E14" s="30">
        <v>723.0</v>
      </c>
      <c r="F14" s="30">
        <v>409.0</v>
      </c>
      <c r="G14" s="30">
        <v>407.0</v>
      </c>
      <c r="H14" s="30">
        <v>383.0</v>
      </c>
      <c r="I14" s="30">
        <v>612.0</v>
      </c>
      <c r="J14" s="31">
        <v>589.3521978021972</v>
      </c>
      <c r="K14" s="31">
        <v>428.78803478075315</v>
      </c>
      <c r="L14" s="31">
        <v>367.4432839005667</v>
      </c>
      <c r="M14" s="31">
        <v>254.24580177104508</v>
      </c>
      <c r="N14" s="31">
        <v>341.38974714605683</v>
      </c>
      <c r="O14" s="31">
        <f t="shared" ref="O14:S14" si="14">ABS((E14-J14)/E14)</f>
        <v>0.1848517319</v>
      </c>
      <c r="P14" s="31">
        <f t="shared" si="14"/>
        <v>0.04838150313</v>
      </c>
      <c r="Q14" s="31">
        <f t="shared" si="14"/>
        <v>0.09719094865</v>
      </c>
      <c r="R14" s="31">
        <f t="shared" si="14"/>
        <v>0.3361728413</v>
      </c>
      <c r="S14" s="31">
        <f t="shared" si="14"/>
        <v>0.4421736158</v>
      </c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22" t="s">
        <v>4</v>
      </c>
      <c r="B18" s="22" t="s">
        <v>153</v>
      </c>
      <c r="C18" s="22" t="s">
        <v>154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29" t="s">
        <v>13</v>
      </c>
      <c r="B19" s="34">
        <f>AVERAGE(O2:O14)</f>
        <v>0.1659178975</v>
      </c>
      <c r="C19" s="34">
        <f t="shared" ref="C19:C23" si="15">1-B19</f>
        <v>0.8340821025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29" t="s">
        <v>17</v>
      </c>
      <c r="B20" s="34">
        <f>AVERAGE(P2:P14)</f>
        <v>0.1773289601</v>
      </c>
      <c r="C20" s="34">
        <f t="shared" si="15"/>
        <v>0.8226710399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29" t="s">
        <v>21</v>
      </c>
      <c r="B21" s="34">
        <f>AVERAGE(Q2:Q14)</f>
        <v>0.2010451052</v>
      </c>
      <c r="C21" s="34">
        <f t="shared" si="15"/>
        <v>0.7989548948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29" t="s">
        <v>25</v>
      </c>
      <c r="B22" s="34">
        <f>AVERAGE(R2:R14)</f>
        <v>0.209498305</v>
      </c>
      <c r="C22" s="34">
        <f t="shared" si="15"/>
        <v>0.790501695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29" t="s">
        <v>28</v>
      </c>
      <c r="B23" s="34">
        <f>AVERAGE(S2:S14)</f>
        <v>0.2061360711</v>
      </c>
      <c r="C23" s="34">
        <f t="shared" si="15"/>
        <v>0.7938639289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</sheetData>
  <conditionalFormatting sqref="B19:B23">
    <cfRule type="cellIs" dxfId="9" priority="1" operator="lessThan">
      <formula>"10%"</formula>
    </cfRule>
  </conditionalFormatting>
  <conditionalFormatting sqref="B19:B23">
    <cfRule type="cellIs" dxfId="10" priority="2" operator="between">
      <formula>"10%"</formula>
      <formula>"20%"</formula>
    </cfRule>
  </conditionalFormatting>
  <conditionalFormatting sqref="B19:B23">
    <cfRule type="cellIs" dxfId="11" priority="3" operator="greaterThan">
      <formula>"20%"</formula>
    </cfRule>
  </conditionalFormatting>
  <drawing r:id="rId2"/>
  <legacyDrawing r:id="rId3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75"/>
    <col customWidth="1" min="2" max="2" width="15.25"/>
    <col customWidth="1" min="3" max="3" width="10.75"/>
    <col customWidth="1" min="4" max="4" width="18.25"/>
    <col customWidth="1" min="5" max="6" width="5.63"/>
    <col customWidth="1" min="7" max="7" width="9.88"/>
    <col customWidth="1" min="8" max="8" width="11.5"/>
    <col customWidth="1" min="9" max="9" width="20.38"/>
    <col customWidth="1" min="10" max="26" width="11.5"/>
  </cols>
  <sheetData>
    <row r="1">
      <c r="A1" s="35" t="s">
        <v>155</v>
      </c>
      <c r="B1" s="36"/>
      <c r="C1" s="27"/>
      <c r="D1" s="35" t="s">
        <v>156</v>
      </c>
      <c r="E1" s="37"/>
      <c r="F1" s="37"/>
      <c r="G1" s="36"/>
      <c r="H1" s="27"/>
      <c r="I1" s="38" t="s">
        <v>157</v>
      </c>
      <c r="J1" s="39"/>
      <c r="K1" s="39"/>
      <c r="L1" s="40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C2" s="32"/>
      <c r="H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C3" s="32"/>
      <c r="H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C4" s="32"/>
      <c r="H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C5" s="32"/>
      <c r="H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C6" s="32"/>
      <c r="H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C7" s="32"/>
      <c r="H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C8" s="32"/>
      <c r="H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C9" s="32"/>
      <c r="H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E19" s="32"/>
      <c r="F19" s="32"/>
      <c r="G19" s="32"/>
      <c r="H19" s="32"/>
      <c r="I19" s="47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</row>
  </sheetData>
  <drawing r:id="rId4"/>
  <tableParts count="3">
    <tablePart r:id="rId8"/>
    <tablePart r:id="rId9"/>
    <tablePart r:id="rId10"/>
  </tableParts>
</worksheet>
</file>